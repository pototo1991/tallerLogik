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sg2\Downloads\"/>
    </mc:Choice>
  </mc:AlternateContent>
  <xr:revisionPtr revIDLastSave="0" documentId="13_ncr:1_{841A8CC4-F468-4002-B973-3125D77739D3}" xr6:coauthVersionLast="47" xr6:coauthVersionMax="47" xr10:uidLastSave="{00000000-0000-0000-0000-000000000000}"/>
  <bookViews>
    <workbookView xWindow="-28920" yWindow="-120" windowWidth="29040" windowHeight="15720" activeTab="1" xr2:uid="{23145EED-5094-4E18-9D06-F7A709563017}"/>
  </bookViews>
  <sheets>
    <sheet name="Hoja1" sheetId="1" r:id="rId1"/>
    <sheet name="Análisis Proyec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E25" i="2"/>
  <c r="E24" i="2"/>
  <c r="E23" i="2"/>
  <c r="B26" i="2"/>
  <c r="B25" i="2"/>
  <c r="B24" i="2"/>
  <c r="B23" i="2"/>
  <c r="F18" i="2"/>
  <c r="E18" i="2"/>
  <c r="D18" i="2"/>
  <c r="C18" i="2"/>
  <c r="B18" i="2"/>
  <c r="F17" i="2"/>
  <c r="F16" i="2"/>
  <c r="F15" i="2"/>
  <c r="F14" i="2"/>
  <c r="F13" i="2"/>
  <c r="E17" i="2"/>
  <c r="E16" i="2"/>
  <c r="E15" i="2"/>
  <c r="E14" i="2"/>
  <c r="E13" i="2"/>
  <c r="D17" i="2"/>
  <c r="D16" i="2"/>
  <c r="D15" i="2"/>
  <c r="D14" i="2"/>
  <c r="D13" i="2"/>
  <c r="C13" i="2"/>
  <c r="C14" i="2"/>
  <c r="C15" i="2"/>
  <c r="C16" i="2"/>
  <c r="C17" i="2"/>
  <c r="B13" i="2"/>
  <c r="B14" i="2"/>
  <c r="B15" i="2"/>
  <c r="B16" i="2"/>
  <c r="B17" i="2"/>
  <c r="G9" i="2"/>
  <c r="E9" i="2"/>
  <c r="C9" i="2"/>
  <c r="A9" i="2"/>
  <c r="G5" i="2"/>
  <c r="E5" i="2"/>
  <c r="C5" i="2"/>
  <c r="A5" i="2"/>
  <c r="L86" i="1"/>
  <c r="E86" i="1"/>
  <c r="C133" i="1"/>
  <c r="C126" i="1"/>
  <c r="E88" i="1" s="1"/>
  <c r="C121" i="1"/>
  <c r="C120" i="1"/>
  <c r="C116" i="1"/>
  <c r="C115" i="1"/>
  <c r="C109" i="1"/>
  <c r="E87" i="1" s="1"/>
  <c r="C106" i="1"/>
  <c r="C103" i="1"/>
  <c r="I102" i="1"/>
  <c r="C102" i="1"/>
  <c r="C101" i="1"/>
  <c r="C99" i="1"/>
  <c r="C98" i="1"/>
  <c r="I94" i="1"/>
  <c r="C90" i="1"/>
  <c r="C89" i="1"/>
  <c r="C87" i="1"/>
  <c r="D86" i="1"/>
  <c r="C86" i="1"/>
  <c r="F72" i="1"/>
  <c r="G72" i="1" s="1"/>
  <c r="G71" i="1" s="1"/>
  <c r="H71" i="1"/>
  <c r="F71" i="1"/>
  <c r="G70" i="1"/>
  <c r="H70" i="1" s="1"/>
  <c r="G69" i="1"/>
  <c r="H69" i="1" s="1"/>
  <c r="G68" i="1"/>
  <c r="H68" i="1" s="1"/>
  <c r="G67" i="1"/>
  <c r="H67" i="1" s="1"/>
  <c r="G66" i="1"/>
  <c r="H66" i="1" s="1"/>
  <c r="H65" i="1" s="1"/>
  <c r="G65" i="1"/>
  <c r="F65" i="1"/>
  <c r="G61" i="1"/>
  <c r="H61" i="1" s="1"/>
  <c r="H60" i="1" s="1"/>
  <c r="G60" i="1"/>
  <c r="F60" i="1"/>
  <c r="G59" i="1"/>
  <c r="H59" i="1" s="1"/>
  <c r="H54" i="1" s="1"/>
  <c r="G54" i="1"/>
  <c r="F54" i="1"/>
  <c r="H53" i="1" s="1"/>
  <c r="H52" i="1"/>
  <c r="F51" i="1"/>
  <c r="F50" i="1"/>
  <c r="F49" i="1"/>
  <c r="G48" i="1"/>
  <c r="H48" i="1" s="1"/>
  <c r="F47" i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H38" i="1" s="1"/>
  <c r="G38" i="1"/>
  <c r="F38" i="1"/>
  <c r="H37" i="1" s="1"/>
  <c r="G36" i="1"/>
  <c r="H36" i="1" s="1"/>
  <c r="G35" i="1"/>
  <c r="H35" i="1" s="1"/>
  <c r="G34" i="1"/>
  <c r="H34" i="1" s="1"/>
  <c r="G33" i="1"/>
  <c r="H33" i="1" s="1"/>
  <c r="G32" i="1"/>
  <c r="F31" i="1"/>
  <c r="H30" i="1" s="1"/>
  <c r="F28" i="1"/>
  <c r="F27" i="1"/>
  <c r="G25" i="1"/>
  <c r="H25" i="1" s="1"/>
  <c r="H24" i="1"/>
  <c r="G24" i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F16" i="1"/>
  <c r="H16" i="1" s="1"/>
  <c r="G15" i="1"/>
  <c r="H15" i="1" s="1"/>
  <c r="H14" i="1"/>
  <c r="G14" i="1"/>
  <c r="G13" i="1"/>
  <c r="H13" i="1" s="1"/>
  <c r="G12" i="1"/>
  <c r="H12" i="1" s="1"/>
  <c r="G11" i="1"/>
  <c r="H11" i="1" s="1"/>
  <c r="F10" i="1"/>
  <c r="G9" i="1"/>
  <c r="H9" i="1" s="1"/>
  <c r="G8" i="1"/>
  <c r="H8" i="1" s="1"/>
  <c r="F7" i="1"/>
  <c r="H6" i="1"/>
  <c r="F88" i="1" l="1"/>
  <c r="H88" i="1"/>
  <c r="G87" i="1"/>
  <c r="F87" i="1"/>
  <c r="F86" i="1"/>
  <c r="H64" i="1"/>
  <c r="E89" i="1"/>
  <c r="G51" i="1"/>
  <c r="H51" i="1"/>
  <c r="G50" i="1"/>
  <c r="H50" i="1" s="1"/>
  <c r="H49" i="1"/>
  <c r="G49" i="1"/>
  <c r="G47" i="1" s="1"/>
  <c r="H32" i="1"/>
  <c r="H31" i="1" s="1"/>
  <c r="G31" i="1"/>
  <c r="G28" i="1"/>
  <c r="H28" i="1" s="1"/>
  <c r="G27" i="1"/>
  <c r="H27" i="1" s="1"/>
  <c r="G10" i="1"/>
  <c r="G7" i="1" s="1"/>
  <c r="H10" i="1"/>
  <c r="K86" i="1"/>
  <c r="M86" i="1" s="1"/>
  <c r="E90" i="1"/>
  <c r="H47" i="1" l="1"/>
  <c r="H7" i="1"/>
  <c r="F89" i="1"/>
  <c r="F91" i="1" s="1"/>
  <c r="G86" i="1"/>
  <c r="F90" i="1"/>
  <c r="E91" i="1"/>
  <c r="C80" i="1" s="1"/>
  <c r="C82" i="1" s="1"/>
  <c r="H86" i="1"/>
  <c r="H91" i="1" s="1"/>
</calcChain>
</file>

<file path=xl/sharedStrings.xml><?xml version="1.0" encoding="utf-8"?>
<sst xmlns="http://schemas.openxmlformats.org/spreadsheetml/2006/main" count="196" uniqueCount="154">
  <si>
    <t>OT 1069 FERNANDA KRAUSS - COCINA CASA AA</t>
  </si>
  <si>
    <t>FECHA</t>
  </si>
  <si>
    <t>N° FACTURA</t>
  </si>
  <si>
    <t>PROVEEDOR</t>
  </si>
  <si>
    <t>MONTO NETO</t>
  </si>
  <si>
    <t xml:space="preserve">IVA </t>
  </si>
  <si>
    <t>TOTAL</t>
  </si>
  <si>
    <t>STATUS</t>
  </si>
  <si>
    <t>Gastos Provisionados PC</t>
  </si>
  <si>
    <t>Material</t>
  </si>
  <si>
    <t>MADERAS TARAPACA SPA</t>
  </si>
  <si>
    <t>ROBLE AMERICANO CEPILLADO C4C 5X150X2.7 (CANT.20)</t>
  </si>
  <si>
    <t>QUINCAMAT</t>
  </si>
  <si>
    <t>ROLLO ENCHAPE ENCINA 21MM X 50MTS (CANT.02)</t>
  </si>
  <si>
    <t>DVP, S.A.</t>
  </si>
  <si>
    <t>KIT CAJON GRASS NOVAPRO ONE BCO ICE BAJO 500 (CANT.13)/KIT CAJON GRASS NOVAPRO ONE BCO ICE ALTO 500 (CANT.3)</t>
  </si>
  <si>
    <t>PROVELCAR</t>
  </si>
  <si>
    <t>CORREDERAS OCULTA C S 350 M M (CANT. 04)</t>
  </si>
  <si>
    <t>CANASTO NANO 400MM (CANT. 03)</t>
  </si>
  <si>
    <t>IMPERIAL</t>
  </si>
  <si>
    <t>MELAMINA MDP VALLE NM 18MM 1.83X2.50 (CANT. 02)/ROLLO TAPACANTO PVC VALLE 22X0,45MM RO 25MT (CANT. 01)</t>
  </si>
  <si>
    <t>TAPACANTO PVC VALLE 21X0,4 (CANT.25MTS)</t>
  </si>
  <si>
    <t>EPA</t>
  </si>
  <si>
    <t>AGLOM.ENCINA/ENCINA 15MM (CANT.10)/MDF ENCINA/ENCINA 15MM (CANT.02)</t>
  </si>
  <si>
    <t>CESTA EXT. 3 NIVELES P/MUEBLE C/S 30CMS KUTZ (CANT.01)</t>
  </si>
  <si>
    <t>HBT</t>
  </si>
  <si>
    <t>MANILLA TUCSON CAFÉ ANTIQU 160MM (CANT.40)/MANILLA CE NEGRO MATE 160/200MM (CANT. 07)</t>
  </si>
  <si>
    <t>BASURERO BAJO LAVAPLATOS DOBLE (CANT.01)</t>
  </si>
  <si>
    <t>FORMAS WOOD</t>
  </si>
  <si>
    <t>CHAPA ENCINA ROJA PRIMERA 39X270X2 (CANT. 02)</t>
  </si>
  <si>
    <t>DPH HERRAJES</t>
  </si>
  <si>
    <t>ESPECIERO ANTRACITA DPH CIERRE SUAVE 300MM (CANT.01)</t>
  </si>
  <si>
    <t>CANTO PVC ACACIA 22 X 0.44 X 50MTS (CANT.01)</t>
  </si>
  <si>
    <t>DAP DUCASSE DISEÑO LTDA</t>
  </si>
  <si>
    <t>TIRADORES POMO 25X21MM (CANT. 06)</t>
  </si>
  <si>
    <t>TIRADORES POMO 25X21MM (CANT. 03)</t>
  </si>
  <si>
    <r>
      <t xml:space="preserve">BISAGRA RECTA CIERRE SUAVE CLIPTOP 110° UNID (CANT 67) </t>
    </r>
    <r>
      <rPr>
        <b/>
        <sz val="11"/>
        <color theme="1"/>
        <rFont val="Aptos Narrow"/>
        <family val="2"/>
        <scheme val="minor"/>
      </rPr>
      <t>STOCK FABRICA</t>
    </r>
  </si>
  <si>
    <r>
      <t xml:space="preserve">PLANCHETA CLIPTOP EN CRUZ  5mm  (CANT 67) </t>
    </r>
    <r>
      <rPr>
        <b/>
        <sz val="11"/>
        <color theme="1"/>
        <rFont val="Aptos Narrow"/>
        <family val="2"/>
        <scheme val="minor"/>
      </rPr>
      <t>STOCK FABRICA</t>
    </r>
  </si>
  <si>
    <t>Electricidad</t>
  </si>
  <si>
    <t>LED STUDIO</t>
  </si>
  <si>
    <t>PERFIL PARA CINTA LED STUDIO EMBUTIDO PLANO 2 MTS NEGRO (CANT. 08)</t>
  </si>
  <si>
    <t>ASYCAR</t>
  </si>
  <si>
    <t>FUENTE DE PODER 23W 12V INTERIOR (CANT.01)/FUENTE DE PODER 50W 12V INTERIOR (CANT.01)/FUENTE DE PODER 75W 12V INTERIOR (CANT.01)/CINTA LED 2835 BCO CALIDO 9.6W 12V (CANT.15MTS)</t>
  </si>
  <si>
    <t>Pintura y Derivados</t>
  </si>
  <si>
    <t>ENKO CHILE</t>
  </si>
  <si>
    <t xml:space="preserve">APLICACIÓN TINTA O ACEITE C/ESTANDAR C/ACABADO </t>
  </si>
  <si>
    <t>MUESTRAS</t>
  </si>
  <si>
    <t>DESARROLLO DE COLOR LACADO,TINTA,ACEITE Y OTROS</t>
  </si>
  <si>
    <t>DILUYENTE PU UNIVERSAL (CANT. 15LT)</t>
  </si>
  <si>
    <t>DESARROLLO DE COLOR LACADO,TINTA,ACEITE Y OTROS ZZLAB.T3 (CANT. 1UND)</t>
  </si>
  <si>
    <t>TINTA AQUALINE B/AGUA LISTA USO NOGAL EUROPEO(CANT.1LT)</t>
  </si>
  <si>
    <t>TINTA AQUALINE LISTA USO (CANT.20LT)</t>
  </si>
  <si>
    <t>PLANCHAS</t>
  </si>
  <si>
    <t>HAGELIN</t>
  </si>
  <si>
    <r>
      <t>MELAMINA BLANCA 18MM (CANT 4)</t>
    </r>
    <r>
      <rPr>
        <b/>
        <sz val="11"/>
        <color theme="1"/>
        <rFont val="Aptos Narrow"/>
        <family val="2"/>
        <scheme val="minor"/>
      </rPr>
      <t xml:space="preserve"> STOCK FABRICA </t>
    </r>
  </si>
  <si>
    <r>
      <t>MELAMINA BLANCA 15MM (CANT 1)</t>
    </r>
    <r>
      <rPr>
        <b/>
        <sz val="11"/>
        <color theme="1"/>
        <rFont val="Aptos Narrow"/>
        <family val="2"/>
        <scheme val="minor"/>
      </rPr>
      <t xml:space="preserve"> STOCK FABRICA</t>
    </r>
  </si>
  <si>
    <t>MADIMEX</t>
  </si>
  <si>
    <r>
      <t xml:space="preserve">PINO SECO CEPILLADO 1X5"X320  (CANT 23) </t>
    </r>
    <r>
      <rPr>
        <b/>
        <sz val="11"/>
        <color theme="1"/>
        <rFont val="Aptos Narrow"/>
        <family val="2"/>
        <scheme val="minor"/>
      </rPr>
      <t>STOCK FABRICA</t>
    </r>
  </si>
  <si>
    <t>Fierro - Alambre</t>
  </si>
  <si>
    <t>Taller - Herramientas</t>
  </si>
  <si>
    <t>Mano de obra externa - Otros</t>
  </si>
  <si>
    <t>VIALIM</t>
  </si>
  <si>
    <t>PUERTAS V20 NEGRO VIDRIO INCOLORO (CANT. 07)</t>
  </si>
  <si>
    <t>CASA MURA</t>
  </si>
  <si>
    <t>CUBIERTA CALACATTA PERLA (CANT.04)/DIMENSIONADO CUARZO (CANT. 04)</t>
  </si>
  <si>
    <t>APEDRA</t>
  </si>
  <si>
    <t>FABRICACIÓN E INSTALACIÓN CUBIERTA CALACATTA PERLA 15MM</t>
  </si>
  <si>
    <t>Colaciones - Instalaciones - Despacho</t>
  </si>
  <si>
    <t>TOTAL G. PRODUCCION</t>
  </si>
  <si>
    <t>(NETO)</t>
  </si>
  <si>
    <t>TOTAL COBRADO</t>
  </si>
  <si>
    <t>DIFERENCIA</t>
  </si>
  <si>
    <t>PC</t>
  </si>
  <si>
    <t>COBRADO</t>
  </si>
  <si>
    <t>REAL</t>
  </si>
  <si>
    <t>GANANCIA PC</t>
  </si>
  <si>
    <t>UTILIDAD</t>
  </si>
  <si>
    <t>COSTO MAT.PC</t>
  </si>
  <si>
    <t>MANO DE OBRA PC</t>
  </si>
  <si>
    <t>GASTOS INSTALACION</t>
  </si>
  <si>
    <t>MANO DE OBRA EXTERNA</t>
  </si>
  <si>
    <t>GASTOS ADMINISTRATIVOS</t>
  </si>
  <si>
    <t>TOTAL REAL</t>
  </si>
  <si>
    <t>Mano de Obra 10.03 al 15.06.26</t>
  </si>
  <si>
    <t>DIAS FABRICACION</t>
  </si>
  <si>
    <t>ALDO ROMERO</t>
  </si>
  <si>
    <t>ALEJANDRO ALVAREZ</t>
  </si>
  <si>
    <t>EXTRAS</t>
  </si>
  <si>
    <t>ALEJANDRO SANCHEZ</t>
  </si>
  <si>
    <t>ALAN BURGOS</t>
  </si>
  <si>
    <t>13dia+11extras+3sab</t>
  </si>
  <si>
    <t>SABADOS</t>
  </si>
  <si>
    <t>DAVID MOLINA</t>
  </si>
  <si>
    <t>12dias+14extras+3sab</t>
  </si>
  <si>
    <t>HECTOR BARAHONA</t>
  </si>
  <si>
    <t>FERIADOS - DOMINGO</t>
  </si>
  <si>
    <t>HERNANDO SALDIAS</t>
  </si>
  <si>
    <t>3dias</t>
  </si>
  <si>
    <t>JUAN LOBOS</t>
  </si>
  <si>
    <t>4dias</t>
  </si>
  <si>
    <t>INSTALACION</t>
  </si>
  <si>
    <t>MARCELO ESPINA</t>
  </si>
  <si>
    <t>10dias+mediodia+9extras+2sab y medio</t>
  </si>
  <si>
    <t>MIGUEL ROMERO</t>
  </si>
  <si>
    <t>YEFERSON BARRIOS</t>
  </si>
  <si>
    <t>JOHAN FERRER</t>
  </si>
  <si>
    <t>8dias+mediodia+1sab</t>
  </si>
  <si>
    <t>JONAS GONZALES</t>
  </si>
  <si>
    <t>PEDRO MENESES</t>
  </si>
  <si>
    <t>Instalación 25.03 al 15.06</t>
  </si>
  <si>
    <t>4dia</t>
  </si>
  <si>
    <t>11dias+mediodia</t>
  </si>
  <si>
    <t>12dias+mediodia+visita</t>
  </si>
  <si>
    <t>1dias+visita</t>
  </si>
  <si>
    <t>MARCELO VALDERRAMA</t>
  </si>
  <si>
    <t>Bono por Instalacion</t>
  </si>
  <si>
    <t>ANÁLISIS FINANCIERO · OT 1069</t>
  </si>
  <si>
    <t>Fernanda Krauss · Cocina Casa AA | análisis neto, vinculado a Hoja1</t>
  </si>
  <si>
    <t>INGRESO NETO</t>
  </si>
  <si>
    <t>COSTO REAL</t>
  </si>
  <si>
    <t>UTILIDAD REAL</t>
  </si>
  <si>
    <t>MARGEN REAL</t>
  </si>
  <si>
    <t>PRESUPUESTO DE COSTOS</t>
  </si>
  <si>
    <t>AHORRO VS PC</t>
  </si>
  <si>
    <t>DESVIACIÓN FAVORABLE</t>
  </si>
  <si>
    <t>UTILIDAD MOSTRADA EN FUENTE</t>
  </si>
  <si>
    <t>DESEMPEÑO POR CATEGORÍA</t>
  </si>
  <si>
    <t>Categoría</t>
  </si>
  <si>
    <t>Real</t>
  </si>
  <si>
    <t>Variación $</t>
  </si>
  <si>
    <t>Variación %</t>
  </si>
  <si>
    <t>Estado</t>
  </si>
  <si>
    <t>Materiales</t>
  </si>
  <si>
    <t>Mano de obra</t>
  </si>
  <si>
    <t>Instalación</t>
  </si>
  <si>
    <t>Mano de obra externa</t>
  </si>
  <si>
    <t>Gastos administrativos</t>
  </si>
  <si>
    <t>CONTROL DOCUMENTAL</t>
  </si>
  <si>
    <t>Indicador</t>
  </si>
  <si>
    <t>Resultado</t>
  </si>
  <si>
    <t>Movimientos detallados</t>
  </si>
  <si>
    <t>Con fecha</t>
  </si>
  <si>
    <t>Con N° factura</t>
  </si>
  <si>
    <t>Con status</t>
  </si>
  <si>
    <t>Cobertura fecha</t>
  </si>
  <si>
    <t>Cobertura factura</t>
  </si>
  <si>
    <t>Cobertura status</t>
  </si>
  <si>
    <t>Muestras incluidas (neto)</t>
  </si>
  <si>
    <t>HALLAZGOS CLAVE</t>
  </si>
  <si>
    <t>1. Utilidad corregida: Hoja1!H91 no incorpora los $6.938.974 cobrados por mano de obra externa.</t>
  </si>
  <si>
    <t>2. Costos reales 43,8% bajo PC; materiales explican $5.683.254 del ahorro total.</t>
  </si>
  <si>
    <t>3. Gastos administrativos exceden el PC en $162.827 (+18,4%); es la única categoría desfavorable.</t>
  </si>
  <si>
    <t>4. Solo 2 de 34 movimientos tienen STATUS; 5 movimientos de stock no tienen fecha ni N° de factura.</t>
  </si>
  <si>
    <t>5. $92.400 netos de muestras están incluidos en Pintura; conviene validar si son imputables al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</si>
</sst>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&quot;$&quot;\ * #,##0_-;\-&quot;$&quot;\ * #,##0_-;_-&quot;$&quot;\ * &quot;-&quot;??_-;_-@_-"/>
    <numFmt numFmtId="165" formatCode="_-&quot;$&quot;\ * #,##0_-;\-&quot;$&quot;\ * #,##0_-;_-&quot;$&quot;\ * &quot;-&quot;_-;_-@_-"/>
    <numFmt numFmtId="166" formatCode="&quot;$&quot;#,##0"/>
    <numFmt numFmtId="167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theme="1"/>
      <name val="Aptos"/>
    </font>
    <font>
      <b/>
      <sz val="11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1"/>
      <color rgb="FF52606D"/>
      <name val="Aptos Narrow"/>
      <family val="2"/>
      <scheme val="minor"/>
    </font>
    <font>
      <b/>
      <sz val="9"/>
      <color rgb="FF17324D"/>
      <name val="Aptos Narrow"/>
      <family val="2"/>
      <scheme val="minor"/>
    </font>
    <font>
      <b/>
      <sz val="17"/>
      <color rgb="FF17324D"/>
      <name val="Aptos Narrow"/>
      <family val="2"/>
      <scheme val="minor"/>
    </font>
    <font>
      <b/>
      <sz val="11"/>
      <color rgb="FFFFFFFF"/>
      <name val="Aptos"/>
    </font>
    <font>
      <b/>
      <sz val="11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E8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2F6B7C"/>
        <bgColor indexed="64"/>
      </patternFill>
    </fill>
    <fill>
      <patternFill patternType="solid">
        <fgColor rgb="FFDCE8EC"/>
        <bgColor indexed="64"/>
      </patternFill>
    </fill>
    <fill>
      <patternFill patternType="solid">
        <fgColor rgb="FFC98B2E"/>
        <bgColor indexed="64"/>
      </patternFill>
    </fill>
    <fill>
      <patternFill patternType="solid">
        <fgColor rgb="FFFFF7E8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3" borderId="1" xfId="0" applyNumberFormat="1" applyFont="1" applyFill="1" applyBorder="1"/>
    <xf numFmtId="164" fontId="7" fillId="4" borderId="7" xfId="0" applyNumberFormat="1" applyFont="1" applyFill="1" applyBorder="1"/>
    <xf numFmtId="164" fontId="4" fillId="5" borderId="1" xfId="0" applyNumberFormat="1" applyFont="1" applyFill="1" applyBorder="1"/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64" fontId="0" fillId="0" borderId="8" xfId="1" applyNumberFormat="1" applyFont="1" applyFill="1" applyBorder="1"/>
    <xf numFmtId="164" fontId="0" fillId="0" borderId="8" xfId="1" applyNumberFormat="1" applyFont="1" applyBorder="1"/>
    <xf numFmtId="0" fontId="0" fillId="0" borderId="8" xfId="0" applyBorder="1" applyAlignment="1">
      <alignment horizontal="left"/>
    </xf>
    <xf numFmtId="42" fontId="1" fillId="0" borderId="8" xfId="2" applyFont="1" applyFill="1" applyBorder="1"/>
    <xf numFmtId="14" fontId="0" fillId="2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164" fontId="0" fillId="2" borderId="8" xfId="1" applyNumberFormat="1" applyFont="1" applyFill="1" applyBorder="1"/>
    <xf numFmtId="164" fontId="4" fillId="3" borderId="9" xfId="0" applyNumberFormat="1" applyFont="1" applyFill="1" applyBorder="1"/>
    <xf numFmtId="164" fontId="7" fillId="4" borderId="12" xfId="0" applyNumberFormat="1" applyFont="1" applyFill="1" applyBorder="1"/>
    <xf numFmtId="164" fontId="4" fillId="6" borderId="1" xfId="0" applyNumberFormat="1" applyFont="1" applyFill="1" applyBorder="1"/>
    <xf numFmtId="164" fontId="4" fillId="6" borderId="7" xfId="0" applyNumberFormat="1" applyFont="1" applyFill="1" applyBorder="1"/>
    <xf numFmtId="164" fontId="0" fillId="0" borderId="13" xfId="1" applyNumberFormat="1" applyFont="1" applyBorder="1"/>
    <xf numFmtId="164" fontId="0" fillId="0" borderId="13" xfId="1" applyNumberFormat="1" applyFont="1" applyFill="1" applyBorder="1"/>
    <xf numFmtId="164" fontId="4" fillId="6" borderId="9" xfId="0" applyNumberFormat="1" applyFont="1" applyFill="1" applyBorder="1"/>
    <xf numFmtId="164" fontId="0" fillId="7" borderId="8" xfId="1" applyNumberFormat="1" applyFont="1" applyFill="1" applyBorder="1"/>
    <xf numFmtId="164" fontId="0" fillId="7" borderId="13" xfId="1" applyNumberFormat="1" applyFont="1" applyFill="1" applyBorder="1"/>
    <xf numFmtId="164" fontId="4" fillId="6" borderId="17" xfId="0" applyNumberFormat="1" applyFont="1" applyFill="1" applyBorder="1"/>
    <xf numFmtId="14" fontId="6" fillId="0" borderId="8" xfId="0" applyNumberFormat="1" applyFont="1" applyBorder="1" applyAlignment="1">
      <alignment horizontal="left"/>
    </xf>
    <xf numFmtId="164" fontId="4" fillId="0" borderId="8" xfId="0" applyNumberFormat="1" applyFont="1" applyBorder="1"/>
    <xf numFmtId="164" fontId="4" fillId="0" borderId="13" xfId="0" applyNumberFormat="1" applyFont="1" applyBorder="1"/>
    <xf numFmtId="0" fontId="0" fillId="0" borderId="0" xfId="0" applyAlignment="1">
      <alignment horizontal="center"/>
    </xf>
    <xf numFmtId="14" fontId="6" fillId="6" borderId="1" xfId="0" applyNumberFormat="1" applyFont="1" applyFill="1" applyBorder="1"/>
    <xf numFmtId="14" fontId="6" fillId="6" borderId="2" xfId="0" applyNumberFormat="1" applyFont="1" applyFill="1" applyBorder="1"/>
    <xf numFmtId="14" fontId="6" fillId="6" borderId="3" xfId="0" applyNumberFormat="1" applyFont="1" applyFill="1" applyBorder="1"/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164" fontId="0" fillId="0" borderId="8" xfId="1" applyNumberFormat="1" applyFont="1" applyFill="1" applyBorder="1" applyAlignment="1">
      <alignment horizontal="left" vertical="center"/>
    </xf>
    <xf numFmtId="164" fontId="2" fillId="0" borderId="0" xfId="0" applyNumberFormat="1" applyFont="1"/>
    <xf numFmtId="164" fontId="2" fillId="0" borderId="0" xfId="1" applyNumberFormat="1" applyFont="1"/>
    <xf numFmtId="164" fontId="8" fillId="0" borderId="0" xfId="1" applyNumberFormat="1" applyFont="1"/>
    <xf numFmtId="164" fontId="9" fillId="0" borderId="0" xfId="1" applyNumberFormat="1" applyFont="1"/>
    <xf numFmtId="0" fontId="4" fillId="0" borderId="0" xfId="0" applyFont="1"/>
    <xf numFmtId="164" fontId="0" fillId="0" borderId="0" xfId="0" applyNumberFormat="1"/>
    <xf numFmtId="16" fontId="2" fillId="0" borderId="0" xfId="0" applyNumberFormat="1" applyFont="1"/>
    <xf numFmtId="0" fontId="7" fillId="0" borderId="0" xfId="0" applyFont="1"/>
    <xf numFmtId="164" fontId="8" fillId="0" borderId="0" xfId="0" applyNumberFormat="1" applyFont="1"/>
    <xf numFmtId="0" fontId="0" fillId="0" borderId="7" xfId="0" applyBorder="1"/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20" xfId="0" applyFont="1" applyBorder="1"/>
    <xf numFmtId="42" fontId="0" fillId="0" borderId="20" xfId="2" applyFont="1" applyFill="1" applyBorder="1"/>
    <xf numFmtId="164" fontId="0" fillId="0" borderId="20" xfId="0" applyNumberFormat="1" applyBorder="1"/>
    <xf numFmtId="165" fontId="2" fillId="4" borderId="21" xfId="0" applyNumberFormat="1" applyFont="1" applyFill="1" applyBorder="1"/>
    <xf numFmtId="165" fontId="11" fillId="0" borderId="0" xfId="0" applyNumberFormat="1" applyFont="1"/>
    <xf numFmtId="165" fontId="10" fillId="0" borderId="8" xfId="0" applyNumberFormat="1" applyFont="1" applyBorder="1"/>
    <xf numFmtId="165" fontId="0" fillId="0" borderId="0" xfId="0" applyNumberFormat="1"/>
    <xf numFmtId="9" fontId="0" fillId="0" borderId="0" xfId="3" applyFont="1"/>
    <xf numFmtId="42" fontId="0" fillId="0" borderId="0" xfId="2" applyFont="1"/>
    <xf numFmtId="0" fontId="10" fillId="0" borderId="8" xfId="0" applyFont="1" applyBorder="1"/>
    <xf numFmtId="42" fontId="0" fillId="0" borderId="20" xfId="2" applyFont="1" applyBorder="1"/>
    <xf numFmtId="165" fontId="0" fillId="0" borderId="20" xfId="0" applyNumberFormat="1" applyBorder="1"/>
    <xf numFmtId="165" fontId="12" fillId="4" borderId="21" xfId="0" applyNumberFormat="1" applyFont="1" applyFill="1" applyBorder="1"/>
    <xf numFmtId="0" fontId="2" fillId="8" borderId="2" xfId="0" applyFont="1" applyFill="1" applyBorder="1" applyAlignment="1">
      <alignment horizontal="left"/>
    </xf>
    <xf numFmtId="164" fontId="2" fillId="8" borderId="2" xfId="0" applyNumberFormat="1" applyFont="1" applyFill="1" applyBorder="1"/>
    <xf numFmtId="165" fontId="2" fillId="4" borderId="3" xfId="0" applyNumberFormat="1" applyFont="1" applyFill="1" applyBorder="1"/>
    <xf numFmtId="165" fontId="13" fillId="0" borderId="8" xfId="0" applyNumberFormat="1" applyFont="1" applyBorder="1"/>
    <xf numFmtId="0" fontId="2" fillId="9" borderId="8" xfId="0" applyFont="1" applyFill="1" applyBorder="1" applyAlignment="1">
      <alignment horizontal="center" vertical="center"/>
    </xf>
    <xf numFmtId="42" fontId="1" fillId="0" borderId="8" xfId="2" applyFont="1" applyBorder="1"/>
    <xf numFmtId="42" fontId="1" fillId="0" borderId="8" xfId="2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2" fillId="2" borderId="0" xfId="0" applyNumberFormat="1" applyFont="1" applyFill="1"/>
    <xf numFmtId="42" fontId="0" fillId="0" borderId="8" xfId="2" applyFont="1" applyBorder="1"/>
    <xf numFmtId="0" fontId="14" fillId="4" borderId="25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2" fillId="10" borderId="22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14" fontId="6" fillId="6" borderId="14" xfId="0" applyNumberFormat="1" applyFont="1" applyFill="1" applyBorder="1" applyAlignment="1">
      <alignment horizontal="left"/>
    </xf>
    <xf numFmtId="14" fontId="6" fillId="6" borderId="15" xfId="0" applyNumberFormat="1" applyFont="1" applyFill="1" applyBorder="1" applyAlignment="1">
      <alignment horizontal="left"/>
    </xf>
    <xf numFmtId="14" fontId="6" fillId="6" borderId="16" xfId="0" applyNumberFormat="1" applyFont="1" applyFill="1" applyBorder="1" applyAlignment="1">
      <alignment horizontal="left"/>
    </xf>
    <xf numFmtId="14" fontId="6" fillId="6" borderId="1" xfId="0" applyNumberFormat="1" applyFont="1" applyFill="1" applyBorder="1" applyAlignment="1">
      <alignment horizontal="left"/>
    </xf>
    <xf numFmtId="14" fontId="6" fillId="6" borderId="2" xfId="0" applyNumberFormat="1" applyFont="1" applyFill="1" applyBorder="1" applyAlignment="1">
      <alignment horizontal="left"/>
    </xf>
    <xf numFmtId="14" fontId="6" fillId="6" borderId="3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14" fontId="6" fillId="6" borderId="17" xfId="0" applyNumberFormat="1" applyFont="1" applyFill="1" applyBorder="1" applyAlignment="1">
      <alignment horizontal="left"/>
    </xf>
    <xf numFmtId="14" fontId="6" fillId="6" borderId="18" xfId="0" applyNumberFormat="1" applyFont="1" applyFill="1" applyBorder="1" applyAlignment="1">
      <alignment horizontal="left"/>
    </xf>
    <xf numFmtId="14" fontId="6" fillId="6" borderId="19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0" fontId="16" fillId="0" borderId="0" xfId="0" applyFont="1"/>
    <xf numFmtId="166" fontId="21" fillId="13" borderId="0" xfId="0" applyNumberFormat="1" applyFont="1" applyFill="1" applyAlignment="1">
      <alignment horizontal="center" vertical="center"/>
    </xf>
    <xf numFmtId="167" fontId="21" fillId="13" borderId="0" xfId="0" applyNumberFormat="1" applyFont="1" applyFill="1" applyAlignment="1">
      <alignment horizontal="center" vertical="center"/>
    </xf>
    <xf numFmtId="0" fontId="18" fillId="11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12" borderId="0" xfId="0" applyFont="1" applyFill="1" applyAlignment="1">
      <alignment horizontal="center" vertical="center"/>
    </xf>
    <xf numFmtId="0" fontId="20" fillId="12" borderId="0" xfId="0" applyFont="1" applyFill="1" applyBorder="1" applyAlignment="1">
      <alignment horizontal="center" vertical="center"/>
    </xf>
    <xf numFmtId="0" fontId="17" fillId="14" borderId="0" xfId="0" applyFont="1" applyFill="1" applyAlignment="1">
      <alignment vertical="center"/>
    </xf>
    <xf numFmtId="0" fontId="22" fillId="11" borderId="0" xfId="0" applyFont="1" applyFill="1" applyAlignment="1">
      <alignment vertical="center"/>
    </xf>
    <xf numFmtId="166" fontId="16" fillId="0" borderId="0" xfId="0" applyNumberFormat="1" applyFont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  <xf numFmtId="0" fontId="23" fillId="15" borderId="0" xfId="0" applyFont="1" applyFill="1" applyAlignment="1">
      <alignment vertical="center"/>
    </xf>
    <xf numFmtId="166" fontId="23" fillId="15" borderId="0" xfId="0" applyNumberFormat="1" applyFont="1" applyFill="1" applyAlignment="1">
      <alignment horizontal="right" vertical="center"/>
    </xf>
    <xf numFmtId="167" fontId="23" fillId="15" borderId="0" xfId="0" applyNumberFormat="1" applyFont="1" applyFill="1" applyAlignment="1">
      <alignment horizontal="right" vertical="center"/>
    </xf>
    <xf numFmtId="167" fontId="16" fillId="0" borderId="0" xfId="0" applyNumberFormat="1" applyFont="1" applyAlignment="1">
      <alignment vertical="center"/>
    </xf>
    <xf numFmtId="166" fontId="16" fillId="0" borderId="0" xfId="0" applyNumberFormat="1" applyFont="1" applyAlignment="1">
      <alignment vertical="center"/>
    </xf>
    <xf numFmtId="0" fontId="17" fillId="16" borderId="0" xfId="0" applyFont="1" applyFill="1" applyAlignment="1">
      <alignment vertical="center"/>
    </xf>
    <xf numFmtId="0" fontId="0" fillId="17" borderId="0" xfId="0" applyFill="1" applyAlignment="1">
      <alignment vertical="center" wrapText="1"/>
    </xf>
    <xf numFmtId="0" fontId="0" fillId="18" borderId="0" xfId="0" applyFill="1" applyAlignment="1">
      <alignment vertical="center" wrapText="1"/>
    </xf>
    <xf numFmtId="1" fontId="16" fillId="0" borderId="0" xfId="0" applyNumberFormat="1" applyFont="1" applyAlignment="1">
      <alignment vertical="center"/>
    </xf>
  </cellXfs>
  <cellStyles count="4">
    <cellStyle name="Moneda" xfId="1" builtinId="4"/>
    <cellStyle name="Moneda [0]" xfId="2" builtinId="7"/>
    <cellStyle name="Normal" xfId="0" builtinId="0"/>
    <cellStyle name="Porcentaje" xfId="3" builtinId="5"/>
  </cellStyles>
  <dxfs count="3">
    <dxf>
      <font>
        <b/>
        <i val="0"/>
        <color rgb="FFA32626"/>
      </font>
    </dxf>
    <dxf>
      <font>
        <color rgb="FFA32626"/>
      </font>
      <fill>
        <patternFill patternType="solid">
          <fgColor indexed="64"/>
          <bgColor rgb="FFFDECEC"/>
        </patternFill>
      </fill>
    </dxf>
    <dxf>
      <font>
        <color rgb="FF1B6E3C"/>
      </font>
      <fill>
        <patternFill patternType="solid">
          <fgColor indexed="64"/>
          <bgColor rgb="FFE7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PC vs real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Proyecto'!$B$12</c:f>
              <c:strCache>
                <c:ptCount val="1"/>
                <c:pt idx="0">
                  <c:v>PC</c:v>
                </c:pt>
              </c:strCache>
            </c:strRef>
          </c:tx>
          <c:spPr>
            <a:solidFill>
              <a:srgbClr val="9FB8C5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Proyecto'!$A$13:$A$17</c:f>
              <c:strCache>
                <c:ptCount val="5"/>
                <c:pt idx="0">
                  <c:v>Materiales</c:v>
                </c:pt>
                <c:pt idx="1">
                  <c:v>Mano de obra</c:v>
                </c:pt>
                <c:pt idx="2">
                  <c:v>Instalación</c:v>
                </c:pt>
                <c:pt idx="3">
                  <c:v>Mano de obra externa</c:v>
                </c:pt>
                <c:pt idx="4">
                  <c:v>Gastos administrativos</c:v>
                </c:pt>
              </c:strCache>
            </c:strRef>
          </c:cat>
          <c:val>
            <c:numRef>
              <c:f>'Análisis Proyecto'!$B$13:$B$17</c:f>
              <c:numCache>
                <c:formatCode>"$"#,##0</c:formatCode>
                <c:ptCount val="5"/>
                <c:pt idx="0">
                  <c:v>8868219</c:v>
                </c:pt>
                <c:pt idx="1">
                  <c:v>4085000</c:v>
                </c:pt>
                <c:pt idx="2">
                  <c:v>1915000</c:v>
                </c:pt>
                <c:pt idx="3">
                  <c:v>4766819</c:v>
                </c:pt>
                <c:pt idx="4">
                  <c:v>886002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2-43F4-A37F-B2DD5236C17C}"/>
            </c:ext>
          </c:extLst>
        </c:ser>
        <c:ser>
          <c:idx val="1"/>
          <c:order val="1"/>
          <c:tx>
            <c:strRef>
              <c:f>'Análisis Proyecto'!$C$12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F6B7C"/>
            </a:solidFill>
            <a:ln>
              <a:noFill/>
            </a:ln>
            <a:effectLst/>
          </c:spPr>
          <c:invertIfNegative val="0"/>
          <c:dLbls>
            <c:numFmt formatCode="&quot;$&quot;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Proyecto'!$A$13:$A$17</c:f>
              <c:strCache>
                <c:ptCount val="5"/>
                <c:pt idx="0">
                  <c:v>Materiales</c:v>
                </c:pt>
                <c:pt idx="1">
                  <c:v>Mano de obra</c:v>
                </c:pt>
                <c:pt idx="2">
                  <c:v>Instalación</c:v>
                </c:pt>
                <c:pt idx="3">
                  <c:v>Mano de obra externa</c:v>
                </c:pt>
                <c:pt idx="4">
                  <c:v>Gastos administrativos</c:v>
                </c:pt>
              </c:strCache>
            </c:strRef>
          </c:cat>
          <c:val>
            <c:numRef>
              <c:f>'Análisis Proyecto'!$C$13:$C$17</c:f>
              <c:numCache>
                <c:formatCode>"$"#,##0</c:formatCode>
                <c:ptCount val="5"/>
                <c:pt idx="0">
                  <c:v>3184965</c:v>
                </c:pt>
                <c:pt idx="1">
                  <c:v>3016750</c:v>
                </c:pt>
                <c:pt idx="2">
                  <c:v>1215000</c:v>
                </c:pt>
                <c:pt idx="3">
                  <c:v>3071572</c:v>
                </c:pt>
                <c:pt idx="4">
                  <c:v>1048828.7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2-43F4-A37F-B2DD5236C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951344"/>
        <c:axId val="1091935152"/>
      </c:barChart>
      <c:catAx>
        <c:axId val="68995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91935152"/>
        <c:crosses val="autoZero"/>
        <c:auto val="1"/>
        <c:lblAlgn val="ctr"/>
        <c:lblOffset val="100"/>
        <c:noMultiLvlLbl val="0"/>
      </c:catAx>
      <c:valAx>
        <c:axId val="109193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99513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Ahorro / (sobrecosto) vs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Proyecto'!$D$12</c:f>
              <c:strCache>
                <c:ptCount val="1"/>
                <c:pt idx="0">
                  <c:v>Variación $</c:v>
                </c:pt>
              </c:strCache>
            </c:strRef>
          </c:tx>
          <c:spPr>
            <a:solidFill>
              <a:srgbClr val="C98B2E"/>
            </a:solidFill>
            <a:ln>
              <a:noFill/>
            </a:ln>
            <a:effectLst/>
          </c:spPr>
          <c:invertIfNegative val="0"/>
          <c:dLbls>
            <c:numFmt formatCode="&quot;$&quot;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Proyecto'!$A$13:$A$17</c:f>
              <c:strCache>
                <c:ptCount val="5"/>
                <c:pt idx="0">
                  <c:v>Materiales</c:v>
                </c:pt>
                <c:pt idx="1">
                  <c:v>Mano de obra</c:v>
                </c:pt>
                <c:pt idx="2">
                  <c:v>Instalación</c:v>
                </c:pt>
                <c:pt idx="3">
                  <c:v>Mano de obra externa</c:v>
                </c:pt>
                <c:pt idx="4">
                  <c:v>Gastos administrativos</c:v>
                </c:pt>
              </c:strCache>
            </c:strRef>
          </c:cat>
          <c:val>
            <c:numRef>
              <c:f>'Análisis Proyecto'!$D$13:$D$17</c:f>
              <c:numCache>
                <c:formatCode>"$"#,##0</c:formatCode>
                <c:ptCount val="5"/>
                <c:pt idx="0">
                  <c:v>5683254</c:v>
                </c:pt>
                <c:pt idx="1">
                  <c:v>1068250</c:v>
                </c:pt>
                <c:pt idx="2">
                  <c:v>700000</c:v>
                </c:pt>
                <c:pt idx="3">
                  <c:v>1695247</c:v>
                </c:pt>
                <c:pt idx="4">
                  <c:v>-162826.69999999995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1-4A05-AE0E-3C544487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0332048"/>
        <c:axId val="1091913552"/>
      </c:barChart>
      <c:catAx>
        <c:axId val="145033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91913552"/>
        <c:crosses val="autoZero"/>
        <c:auto val="1"/>
        <c:lblAlgn val="ctr"/>
        <c:lblOffset val="100"/>
        <c:noMultiLvlLbl val="0"/>
      </c:catAx>
      <c:valAx>
        <c:axId val="10919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033204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1</xdr:row>
      <xdr:rowOff>302894</xdr:rowOff>
    </xdr:from>
    <xdr:to>
      <xdr:col>17</xdr:col>
      <xdr:colOff>11430</xdr:colOff>
      <xdr:row>16</xdr:row>
      <xdr:rowOff>55244</xdr:rowOff>
    </xdr:to>
    <xdr:graphicFrame macro="">
      <xdr:nvGraphicFramePr>
        <xdr:cNvPr id="2" name="PC vs Real por Categoría">
          <a:extLst>
            <a:ext uri="{FF2B5EF4-FFF2-40B4-BE49-F238E27FC236}">
              <a16:creationId xmlns:a16="http://schemas.microsoft.com/office/drawing/2014/main" id="{5C97C4E7-EAA2-C8EC-519C-D72D637E6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209550</xdr:colOff>
      <xdr:row>17</xdr:row>
      <xdr:rowOff>59054</xdr:rowOff>
    </xdr:from>
    <xdr:to>
      <xdr:col>17</xdr:col>
      <xdr:colOff>11430</xdr:colOff>
      <xdr:row>31</xdr:row>
      <xdr:rowOff>93344</xdr:rowOff>
    </xdr:to>
    <xdr:graphicFrame macro="">
      <xdr:nvGraphicFramePr>
        <xdr:cNvPr id="3" name="Variación vs PC">
          <a:extLst>
            <a:ext uri="{FF2B5EF4-FFF2-40B4-BE49-F238E27FC236}">
              <a16:creationId xmlns:a16="http://schemas.microsoft.com/office/drawing/2014/main" id="{54E6E03E-6FCF-073F-033E-B8AE4B776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F394-2EBC-4762-9B90-42A54A4F475D}">
  <dimension ref="B1:M133"/>
  <sheetViews>
    <sheetView topLeftCell="A76" workbookViewId="0">
      <selection activeCell="F98" sqref="F98:F99"/>
    </sheetView>
  </sheetViews>
  <sheetFormatPr baseColWidth="10" defaultRowHeight="14.4" x14ac:dyDescent="0.3"/>
  <cols>
    <col min="1" max="1" width="3" customWidth="1"/>
    <col min="2" max="2" width="24.33203125" customWidth="1"/>
    <col min="3" max="3" width="14.33203125" customWidth="1"/>
    <col min="4" max="4" width="38.33203125" customWidth="1"/>
    <col min="5" max="5" width="71.88671875" customWidth="1"/>
    <col min="6" max="8" width="17.6640625" customWidth="1"/>
    <col min="9" max="9" width="13" customWidth="1"/>
    <col min="10" max="10" width="9" customWidth="1"/>
    <col min="11" max="12" width="12" bestFit="1" customWidth="1"/>
  </cols>
  <sheetData>
    <row r="1" spans="2:9" ht="15" thickBot="1" x14ac:dyDescent="0.35">
      <c r="I1" s="1"/>
    </row>
    <row r="2" spans="2:9" ht="15" thickBot="1" x14ac:dyDescent="0.35">
      <c r="B2" s="2"/>
      <c r="C2" s="3"/>
      <c r="D2" s="108" t="s">
        <v>0</v>
      </c>
      <c r="E2" s="108"/>
      <c r="F2" s="3"/>
      <c r="G2" s="3"/>
      <c r="H2" s="4"/>
      <c r="I2" s="1"/>
    </row>
    <row r="3" spans="2:9" ht="15" thickBot="1" x14ac:dyDescent="0.35">
      <c r="I3" s="1"/>
    </row>
    <row r="4" spans="2:9" ht="15" thickBot="1" x14ac:dyDescent="0.35">
      <c r="B4" s="5" t="s">
        <v>1</v>
      </c>
      <c r="C4" s="6" t="s">
        <v>2</v>
      </c>
      <c r="D4" s="6" t="s">
        <v>3</v>
      </c>
      <c r="E4" s="6"/>
      <c r="F4" s="6" t="s">
        <v>4</v>
      </c>
      <c r="G4" s="6" t="s">
        <v>5</v>
      </c>
      <c r="H4" s="7" t="s">
        <v>6</v>
      </c>
      <c r="I4" s="8" t="s">
        <v>7</v>
      </c>
    </row>
    <row r="5" spans="2:9" ht="15" thickBot="1" x14ac:dyDescent="0.35">
      <c r="B5" s="9"/>
      <c r="C5" s="9"/>
      <c r="D5" s="9"/>
      <c r="E5" s="9"/>
      <c r="F5" s="9"/>
      <c r="G5" s="9"/>
      <c r="H5" s="9"/>
      <c r="I5" s="1"/>
    </row>
    <row r="6" spans="2:9" ht="18.600000000000001" thickBot="1" x14ac:dyDescent="0.4">
      <c r="B6" s="100" t="s">
        <v>8</v>
      </c>
      <c r="C6" s="101"/>
      <c r="D6" s="101"/>
      <c r="E6" s="102"/>
      <c r="F6" s="10"/>
      <c r="G6" s="10"/>
      <c r="H6" s="11">
        <f>F6-F7</f>
        <v>-2519962</v>
      </c>
      <c r="I6" s="1"/>
    </row>
    <row r="7" spans="2:9" ht="18.600000000000001" thickBot="1" x14ac:dyDescent="0.4">
      <c r="B7" s="109" t="s">
        <v>9</v>
      </c>
      <c r="C7" s="110"/>
      <c r="D7" s="110"/>
      <c r="E7" s="111"/>
      <c r="F7" s="12">
        <f>SUM(F8:F28)</f>
        <v>2519962</v>
      </c>
      <c r="G7" s="12">
        <f>SUM(G8:G28)</f>
        <v>478792.78000000009</v>
      </c>
      <c r="H7" s="12">
        <f>SUM(H8:H28)</f>
        <v>2998754.7799999993</v>
      </c>
      <c r="I7" s="1"/>
    </row>
    <row r="8" spans="2:9" ht="15.75" customHeight="1" x14ac:dyDescent="0.3">
      <c r="B8" s="13"/>
      <c r="C8" s="14"/>
      <c r="D8" s="15"/>
      <c r="E8" s="15"/>
      <c r="F8" s="16"/>
      <c r="G8" s="17">
        <f t="shared" ref="G8:G25" si="0">F8*19%</f>
        <v>0</v>
      </c>
      <c r="H8" s="17">
        <f t="shared" ref="H8:H25" si="1">F8+G8</f>
        <v>0</v>
      </c>
      <c r="I8" s="1"/>
    </row>
    <row r="9" spans="2:9" x14ac:dyDescent="0.3">
      <c r="B9" s="13">
        <v>46083</v>
      </c>
      <c r="C9" s="14">
        <v>57028</v>
      </c>
      <c r="D9" s="15" t="s">
        <v>10</v>
      </c>
      <c r="E9" t="s">
        <v>11</v>
      </c>
      <c r="F9" s="16">
        <v>332940</v>
      </c>
      <c r="G9" s="17">
        <f t="shared" si="0"/>
        <v>63258.6</v>
      </c>
      <c r="H9" s="17">
        <f t="shared" si="1"/>
        <v>396198.6</v>
      </c>
      <c r="I9" s="1"/>
    </row>
    <row r="10" spans="2:9" x14ac:dyDescent="0.3">
      <c r="B10" s="13">
        <v>46087</v>
      </c>
      <c r="C10" s="14">
        <v>220412</v>
      </c>
      <c r="D10" s="15" t="s">
        <v>12</v>
      </c>
      <c r="E10" s="18" t="s">
        <v>13</v>
      </c>
      <c r="F10" s="19">
        <f>12597*2</f>
        <v>25194</v>
      </c>
      <c r="G10" s="17">
        <f t="shared" si="0"/>
        <v>4786.8599999999997</v>
      </c>
      <c r="H10" s="17">
        <f t="shared" si="1"/>
        <v>29980.86</v>
      </c>
      <c r="I10" s="1"/>
    </row>
    <row r="11" spans="2:9" x14ac:dyDescent="0.3">
      <c r="B11" s="13">
        <v>46093</v>
      </c>
      <c r="C11" s="14">
        <v>1582260</v>
      </c>
      <c r="D11" s="15" t="s">
        <v>14</v>
      </c>
      <c r="E11" s="18" t="s">
        <v>15</v>
      </c>
      <c r="F11" s="16">
        <v>745800</v>
      </c>
      <c r="G11" s="17">
        <f t="shared" si="0"/>
        <v>141702</v>
      </c>
      <c r="H11" s="17">
        <f t="shared" si="1"/>
        <v>887502</v>
      </c>
      <c r="I11" s="1"/>
    </row>
    <row r="12" spans="2:9" x14ac:dyDescent="0.3">
      <c r="B12" s="13">
        <v>46093</v>
      </c>
      <c r="C12" s="14">
        <v>158630</v>
      </c>
      <c r="D12" s="15" t="s">
        <v>16</v>
      </c>
      <c r="E12" s="15" t="s">
        <v>17</v>
      </c>
      <c r="F12" s="16">
        <v>32269</v>
      </c>
      <c r="G12" s="17">
        <f t="shared" si="0"/>
        <v>6131.11</v>
      </c>
      <c r="H12" s="17">
        <f t="shared" si="1"/>
        <v>38400.11</v>
      </c>
      <c r="I12" s="1"/>
    </row>
    <row r="13" spans="2:9" x14ac:dyDescent="0.3">
      <c r="B13" s="13">
        <v>46094</v>
      </c>
      <c r="C13" s="14">
        <v>158724</v>
      </c>
      <c r="D13" s="15" t="s">
        <v>16</v>
      </c>
      <c r="E13" s="15" t="s">
        <v>18</v>
      </c>
      <c r="F13" s="16">
        <v>80647</v>
      </c>
      <c r="G13" s="17">
        <f t="shared" si="0"/>
        <v>15322.93</v>
      </c>
      <c r="H13" s="17">
        <f t="shared" si="1"/>
        <v>95969.93</v>
      </c>
      <c r="I13" s="1"/>
    </row>
    <row r="14" spans="2:9" x14ac:dyDescent="0.3">
      <c r="B14" s="13">
        <v>46094</v>
      </c>
      <c r="C14" s="14">
        <v>20054608</v>
      </c>
      <c r="D14" s="15" t="s">
        <v>19</v>
      </c>
      <c r="E14" s="15" t="s">
        <v>20</v>
      </c>
      <c r="F14" s="16">
        <v>116807</v>
      </c>
      <c r="G14" s="17">
        <f t="shared" si="0"/>
        <v>22193.33</v>
      </c>
      <c r="H14" s="17">
        <f t="shared" si="1"/>
        <v>139000.33000000002</v>
      </c>
      <c r="I14" s="1"/>
    </row>
    <row r="15" spans="2:9" x14ac:dyDescent="0.3">
      <c r="B15" s="13">
        <v>46099</v>
      </c>
      <c r="C15" s="14">
        <v>221221</v>
      </c>
      <c r="D15" s="15" t="s">
        <v>12</v>
      </c>
      <c r="E15" s="18" t="s">
        <v>21</v>
      </c>
      <c r="F15" s="19">
        <v>6093</v>
      </c>
      <c r="G15" s="17">
        <f t="shared" si="0"/>
        <v>1157.67</v>
      </c>
      <c r="H15" s="17">
        <f t="shared" si="1"/>
        <v>7250.67</v>
      </c>
      <c r="I15" s="1"/>
    </row>
    <row r="16" spans="2:9" x14ac:dyDescent="0.3">
      <c r="B16" s="20">
        <v>46099</v>
      </c>
      <c r="C16" s="21">
        <v>13537</v>
      </c>
      <c r="D16" s="22" t="s">
        <v>22</v>
      </c>
      <c r="E16" s="22" t="s">
        <v>23</v>
      </c>
      <c r="F16" s="23">
        <f>519970+117432</f>
        <v>637402</v>
      </c>
      <c r="G16" s="23">
        <f t="shared" si="0"/>
        <v>121106.38</v>
      </c>
      <c r="H16" s="23">
        <f t="shared" si="1"/>
        <v>758508.38</v>
      </c>
      <c r="I16" s="1"/>
    </row>
    <row r="17" spans="2:9" x14ac:dyDescent="0.3">
      <c r="B17" s="13">
        <v>46112</v>
      </c>
      <c r="C17" s="14">
        <v>20099773</v>
      </c>
      <c r="D17" s="15" t="s">
        <v>19</v>
      </c>
      <c r="E17" s="15" t="s">
        <v>24</v>
      </c>
      <c r="F17" s="16">
        <v>29403</v>
      </c>
      <c r="G17" s="17">
        <f t="shared" si="0"/>
        <v>5586.57</v>
      </c>
      <c r="H17" s="17">
        <f t="shared" si="1"/>
        <v>34989.57</v>
      </c>
      <c r="I17" s="1"/>
    </row>
    <row r="18" spans="2:9" x14ac:dyDescent="0.3">
      <c r="B18" s="13">
        <v>46113</v>
      </c>
      <c r="C18" s="14">
        <v>304046</v>
      </c>
      <c r="D18" s="15" t="s">
        <v>25</v>
      </c>
      <c r="E18" s="15" t="s">
        <v>26</v>
      </c>
      <c r="F18" s="17">
        <v>134578</v>
      </c>
      <c r="G18" s="17">
        <f t="shared" si="0"/>
        <v>25569.82</v>
      </c>
      <c r="H18" s="17">
        <f t="shared" si="1"/>
        <v>160147.82</v>
      </c>
      <c r="I18" s="1"/>
    </row>
    <row r="19" spans="2:9" x14ac:dyDescent="0.3">
      <c r="B19" s="13">
        <v>46114</v>
      </c>
      <c r="C19" s="14">
        <v>160228</v>
      </c>
      <c r="D19" s="15" t="s">
        <v>16</v>
      </c>
      <c r="E19" s="15" t="s">
        <v>27</v>
      </c>
      <c r="F19" s="17">
        <v>46210</v>
      </c>
      <c r="G19" s="17">
        <f t="shared" si="0"/>
        <v>8779.9</v>
      </c>
      <c r="H19" s="17">
        <f t="shared" si="1"/>
        <v>54989.9</v>
      </c>
      <c r="I19" s="1"/>
    </row>
    <row r="20" spans="2:9" x14ac:dyDescent="0.3">
      <c r="B20" s="13">
        <v>46128</v>
      </c>
      <c r="C20" s="14">
        <v>35313</v>
      </c>
      <c r="D20" s="15" t="s">
        <v>28</v>
      </c>
      <c r="E20" s="15" t="s">
        <v>29</v>
      </c>
      <c r="F20" s="17">
        <v>14322</v>
      </c>
      <c r="G20" s="17">
        <f t="shared" si="0"/>
        <v>2721.18</v>
      </c>
      <c r="H20" s="17">
        <f t="shared" si="1"/>
        <v>17043.18</v>
      </c>
      <c r="I20" s="1"/>
    </row>
    <row r="21" spans="2:9" x14ac:dyDescent="0.3">
      <c r="B21" s="13">
        <v>46157</v>
      </c>
      <c r="C21" s="14">
        <v>78149</v>
      </c>
      <c r="D21" s="15" t="s">
        <v>30</v>
      </c>
      <c r="E21" s="15" t="s">
        <v>31</v>
      </c>
      <c r="F21" s="17">
        <v>41597</v>
      </c>
      <c r="G21" s="17">
        <f t="shared" si="0"/>
        <v>7903.43</v>
      </c>
      <c r="H21" s="17">
        <f t="shared" si="1"/>
        <v>49500.43</v>
      </c>
      <c r="I21" s="1"/>
    </row>
    <row r="22" spans="2:9" x14ac:dyDescent="0.3">
      <c r="B22" s="13">
        <v>46161</v>
      </c>
      <c r="C22" s="14">
        <v>224810</v>
      </c>
      <c r="D22" s="15" t="s">
        <v>12</v>
      </c>
      <c r="E22" s="15" t="s">
        <v>32</v>
      </c>
      <c r="F22" s="17">
        <v>12605</v>
      </c>
      <c r="G22" s="17">
        <f t="shared" si="0"/>
        <v>2394.9499999999998</v>
      </c>
      <c r="H22" s="17">
        <f t="shared" si="1"/>
        <v>14999.95</v>
      </c>
      <c r="I22" s="1"/>
    </row>
    <row r="23" spans="2:9" x14ac:dyDescent="0.3">
      <c r="B23" s="13">
        <v>46168</v>
      </c>
      <c r="C23" s="14">
        <v>1663971</v>
      </c>
      <c r="D23" s="15" t="s">
        <v>33</v>
      </c>
      <c r="E23" s="15" t="s">
        <v>34</v>
      </c>
      <c r="F23" s="17">
        <v>15054</v>
      </c>
      <c r="G23" s="17">
        <f t="shared" si="0"/>
        <v>2860.26</v>
      </c>
      <c r="H23" s="17">
        <f t="shared" si="1"/>
        <v>17914.260000000002</v>
      </c>
      <c r="I23" s="1"/>
    </row>
    <row r="24" spans="2:9" x14ac:dyDescent="0.3">
      <c r="B24" s="13">
        <v>46168</v>
      </c>
      <c r="C24" s="14">
        <v>1659300</v>
      </c>
      <c r="D24" s="15" t="s">
        <v>33</v>
      </c>
      <c r="E24" s="15" t="s">
        <v>34</v>
      </c>
      <c r="F24" s="17">
        <v>15054</v>
      </c>
      <c r="G24" s="17">
        <f t="shared" si="0"/>
        <v>2860.26</v>
      </c>
      <c r="H24" s="17">
        <f t="shared" si="1"/>
        <v>17914.260000000002</v>
      </c>
      <c r="I24" s="1"/>
    </row>
    <row r="25" spans="2:9" x14ac:dyDescent="0.3">
      <c r="B25" s="13">
        <v>46190</v>
      </c>
      <c r="C25" s="14">
        <v>1659765</v>
      </c>
      <c r="D25" s="15" t="s">
        <v>33</v>
      </c>
      <c r="E25" s="15" t="s">
        <v>35</v>
      </c>
      <c r="F25" s="17">
        <v>7527</v>
      </c>
      <c r="G25" s="17">
        <f t="shared" si="0"/>
        <v>1430.13</v>
      </c>
      <c r="H25" s="17">
        <f t="shared" si="1"/>
        <v>8957.130000000001</v>
      </c>
      <c r="I25" s="1"/>
    </row>
    <row r="26" spans="2:9" x14ac:dyDescent="0.3">
      <c r="B26" s="13"/>
      <c r="C26" s="14"/>
      <c r="D26" s="15"/>
      <c r="E26" s="15"/>
      <c r="F26" s="17"/>
      <c r="G26" s="17"/>
      <c r="H26" s="17"/>
      <c r="I26" s="1"/>
    </row>
    <row r="27" spans="2:9" x14ac:dyDescent="0.3">
      <c r="B27" s="13"/>
      <c r="C27" s="14"/>
      <c r="D27" s="15" t="s">
        <v>25</v>
      </c>
      <c r="E27" s="18" t="s">
        <v>36</v>
      </c>
      <c r="F27" s="19">
        <f>2880*67</f>
        <v>192960</v>
      </c>
      <c r="G27" s="17">
        <f>F27*19%</f>
        <v>36662.400000000001</v>
      </c>
      <c r="H27" s="17">
        <f>F27+G27</f>
        <v>229622.39999999999</v>
      </c>
      <c r="I27" s="1"/>
    </row>
    <row r="28" spans="2:9" x14ac:dyDescent="0.3">
      <c r="B28" s="13"/>
      <c r="C28" s="14"/>
      <c r="D28" s="15" t="s">
        <v>25</v>
      </c>
      <c r="E28" s="18" t="s">
        <v>37</v>
      </c>
      <c r="F28" s="16">
        <f>500*67</f>
        <v>33500</v>
      </c>
      <c r="G28" s="17">
        <f>F28*19%</f>
        <v>6365</v>
      </c>
      <c r="H28" s="17">
        <f>F28+G28</f>
        <v>39865</v>
      </c>
      <c r="I28" s="1"/>
    </row>
    <row r="29" spans="2:9" x14ac:dyDescent="0.3">
      <c r="B29" s="13"/>
      <c r="C29" s="14"/>
      <c r="D29" s="15"/>
      <c r="E29" s="15"/>
      <c r="F29" s="17"/>
      <c r="G29" s="17"/>
      <c r="H29" s="17"/>
      <c r="I29" s="1"/>
    </row>
    <row r="30" spans="2:9" ht="18.600000000000001" thickBot="1" x14ac:dyDescent="0.4">
      <c r="B30" s="112" t="s">
        <v>8</v>
      </c>
      <c r="C30" s="113"/>
      <c r="D30" s="113"/>
      <c r="E30" s="114"/>
      <c r="F30" s="24"/>
      <c r="G30" s="24"/>
      <c r="H30" s="25">
        <f>F30-F31</f>
        <v>-212011</v>
      </c>
      <c r="I30" s="1"/>
    </row>
    <row r="31" spans="2:9" ht="18.600000000000001" thickBot="1" x14ac:dyDescent="0.4">
      <c r="B31" s="97" t="s">
        <v>38</v>
      </c>
      <c r="C31" s="98"/>
      <c r="D31" s="98"/>
      <c r="E31" s="99"/>
      <c r="F31" s="26">
        <f>SUM(F32:F36)</f>
        <v>212011</v>
      </c>
      <c r="G31" s="26">
        <f>SUM(G32:G36)</f>
        <v>40282.090000000004</v>
      </c>
      <c r="H31" s="27">
        <f>SUM(H32:H36)</f>
        <v>252293.08999999997</v>
      </c>
      <c r="I31" s="1"/>
    </row>
    <row r="32" spans="2:9" x14ac:dyDescent="0.3">
      <c r="B32" s="13"/>
      <c r="C32" s="14"/>
      <c r="D32" s="15"/>
      <c r="E32" s="15"/>
      <c r="F32" s="17"/>
      <c r="G32" s="28">
        <f>F32*19%</f>
        <v>0</v>
      </c>
      <c r="H32" s="28">
        <f>F32+G32</f>
        <v>0</v>
      </c>
      <c r="I32" s="1"/>
    </row>
    <row r="33" spans="2:9" x14ac:dyDescent="0.3">
      <c r="B33" s="13">
        <v>46097</v>
      </c>
      <c r="C33" s="14">
        <v>241121</v>
      </c>
      <c r="D33" t="s">
        <v>39</v>
      </c>
      <c r="E33" s="15" t="s">
        <v>40</v>
      </c>
      <c r="F33" s="17">
        <v>53849</v>
      </c>
      <c r="G33" s="28">
        <f>F33*19%</f>
        <v>10231.31</v>
      </c>
      <c r="H33" s="28">
        <f>F33+G33</f>
        <v>64080.31</v>
      </c>
      <c r="I33" s="1"/>
    </row>
    <row r="34" spans="2:9" x14ac:dyDescent="0.3">
      <c r="B34" s="13">
        <v>46098</v>
      </c>
      <c r="C34" s="14">
        <v>36350</v>
      </c>
      <c r="D34" s="15" t="s">
        <v>41</v>
      </c>
      <c r="E34" s="15" t="s">
        <v>42</v>
      </c>
      <c r="F34" s="17">
        <v>97718</v>
      </c>
      <c r="G34" s="28">
        <f>F34*19%</f>
        <v>18566.420000000002</v>
      </c>
      <c r="H34" s="28">
        <f>F34+G34</f>
        <v>116284.42</v>
      </c>
      <c r="I34" s="1"/>
    </row>
    <row r="35" spans="2:9" x14ac:dyDescent="0.3">
      <c r="B35" s="13">
        <v>46162</v>
      </c>
      <c r="C35" s="14">
        <v>247538</v>
      </c>
      <c r="D35" t="s">
        <v>39</v>
      </c>
      <c r="E35" s="15" t="s">
        <v>40</v>
      </c>
      <c r="F35" s="17">
        <v>60444</v>
      </c>
      <c r="G35" s="28">
        <f>F35*19%</f>
        <v>11484.36</v>
      </c>
      <c r="H35" s="28">
        <f>F35+G35</f>
        <v>71928.36</v>
      </c>
      <c r="I35" s="1"/>
    </row>
    <row r="36" spans="2:9" ht="15" thickBot="1" x14ac:dyDescent="0.35">
      <c r="B36" s="13"/>
      <c r="C36" s="14"/>
      <c r="D36" s="15"/>
      <c r="E36" s="15"/>
      <c r="F36" s="17"/>
      <c r="G36" s="29">
        <f>F36*19%</f>
        <v>0</v>
      </c>
      <c r="H36" s="29">
        <f>F36+G36</f>
        <v>0</v>
      </c>
      <c r="I36" s="1"/>
    </row>
    <row r="37" spans="2:9" ht="18.600000000000001" thickBot="1" x14ac:dyDescent="0.4">
      <c r="B37" s="100" t="s">
        <v>8</v>
      </c>
      <c r="C37" s="101"/>
      <c r="D37" s="101"/>
      <c r="E37" s="102"/>
      <c r="F37" s="10"/>
      <c r="G37" s="10"/>
      <c r="H37" s="11">
        <f>F37-F38</f>
        <v>-236952</v>
      </c>
      <c r="I37" s="1"/>
    </row>
    <row r="38" spans="2:9" ht="18.600000000000001" thickBot="1" x14ac:dyDescent="0.4">
      <c r="B38" s="94" t="s">
        <v>43</v>
      </c>
      <c r="C38" s="95"/>
      <c r="D38" s="95"/>
      <c r="E38" s="96"/>
      <c r="F38" s="30">
        <f>SUM(F39:F46)</f>
        <v>236952</v>
      </c>
      <c r="G38" s="30">
        <f>SUM(G39:G46)</f>
        <v>45020.88</v>
      </c>
      <c r="H38" s="27">
        <f>SUM(H39:H46)</f>
        <v>281972.88</v>
      </c>
      <c r="I38" s="1"/>
    </row>
    <row r="39" spans="2:9" x14ac:dyDescent="0.3">
      <c r="B39" s="13"/>
      <c r="C39" s="14"/>
      <c r="D39" s="13"/>
      <c r="E39" s="15"/>
      <c r="F39" s="17"/>
      <c r="G39" s="28">
        <f t="shared" ref="G39:G46" si="2">F39*19%</f>
        <v>0</v>
      </c>
      <c r="H39" s="28">
        <f t="shared" ref="H39:H46" si="3">F39+G39</f>
        <v>0</v>
      </c>
      <c r="I39" s="1"/>
    </row>
    <row r="40" spans="2:9" x14ac:dyDescent="0.3">
      <c r="B40" s="13">
        <v>46076</v>
      </c>
      <c r="C40" s="14">
        <v>147752</v>
      </c>
      <c r="D40" s="15" t="s">
        <v>44</v>
      </c>
      <c r="E40" s="15" t="s">
        <v>45</v>
      </c>
      <c r="F40" s="17">
        <v>38700</v>
      </c>
      <c r="G40" s="28">
        <f t="shared" si="2"/>
        <v>7353</v>
      </c>
      <c r="H40" s="28">
        <f t="shared" si="3"/>
        <v>46053</v>
      </c>
      <c r="I40" s="1" t="s">
        <v>46</v>
      </c>
    </row>
    <row r="41" spans="2:9" x14ac:dyDescent="0.3">
      <c r="B41" s="13">
        <v>46090</v>
      </c>
      <c r="C41" s="14">
        <v>148419</v>
      </c>
      <c r="D41" s="15" t="s">
        <v>44</v>
      </c>
      <c r="E41" s="15" t="s">
        <v>47</v>
      </c>
      <c r="F41" s="17">
        <v>53700</v>
      </c>
      <c r="G41" s="28">
        <f t="shared" si="2"/>
        <v>10203</v>
      </c>
      <c r="H41" s="28">
        <f t="shared" si="3"/>
        <v>63903</v>
      </c>
      <c r="I41" s="1" t="s">
        <v>46</v>
      </c>
    </row>
    <row r="42" spans="2:9" x14ac:dyDescent="0.3">
      <c r="B42" s="13">
        <v>46113</v>
      </c>
      <c r="C42" s="14">
        <v>149563</v>
      </c>
      <c r="D42" s="15" t="s">
        <v>44</v>
      </c>
      <c r="E42" s="15" t="s">
        <v>48</v>
      </c>
      <c r="F42" s="31">
        <v>51570</v>
      </c>
      <c r="G42" s="32">
        <f t="shared" si="2"/>
        <v>9798.2999999999993</v>
      </c>
      <c r="H42" s="32">
        <f t="shared" si="3"/>
        <v>61368.3</v>
      </c>
      <c r="I42" s="1"/>
    </row>
    <row r="43" spans="2:9" x14ac:dyDescent="0.3">
      <c r="B43" s="13">
        <v>46118</v>
      </c>
      <c r="C43" s="14">
        <v>149662</v>
      </c>
      <c r="D43" s="15" t="s">
        <v>44</v>
      </c>
      <c r="E43" s="15" t="s">
        <v>49</v>
      </c>
      <c r="F43" s="17">
        <v>17900</v>
      </c>
      <c r="G43" s="28">
        <f t="shared" si="2"/>
        <v>3401</v>
      </c>
      <c r="H43" s="28">
        <f t="shared" si="3"/>
        <v>21301</v>
      </c>
      <c r="I43" s="1"/>
    </row>
    <row r="44" spans="2:9" x14ac:dyDescent="0.3">
      <c r="B44" s="13">
        <v>46125</v>
      </c>
      <c r="C44" s="14">
        <v>149976</v>
      </c>
      <c r="D44" s="15" t="s">
        <v>44</v>
      </c>
      <c r="E44" s="15" t="s">
        <v>50</v>
      </c>
      <c r="F44" s="17">
        <v>5789</v>
      </c>
      <c r="G44" s="28">
        <f t="shared" si="2"/>
        <v>1099.9100000000001</v>
      </c>
      <c r="H44" s="28">
        <f t="shared" si="3"/>
        <v>6888.91</v>
      </c>
      <c r="I44" s="1"/>
    </row>
    <row r="45" spans="2:9" x14ac:dyDescent="0.3">
      <c r="B45" s="13">
        <v>46126</v>
      </c>
      <c r="C45" s="14">
        <v>150058</v>
      </c>
      <c r="D45" s="15" t="s">
        <v>44</v>
      </c>
      <c r="E45" s="15" t="s">
        <v>51</v>
      </c>
      <c r="F45" s="17">
        <v>69293</v>
      </c>
      <c r="G45" s="28">
        <f t="shared" si="2"/>
        <v>13165.67</v>
      </c>
      <c r="H45" s="28">
        <f t="shared" si="3"/>
        <v>82458.67</v>
      </c>
      <c r="I45" s="1"/>
    </row>
    <row r="46" spans="2:9" ht="15" thickBot="1" x14ac:dyDescent="0.35">
      <c r="B46" s="13"/>
      <c r="C46" s="14"/>
      <c r="D46" s="15"/>
      <c r="E46" s="15"/>
      <c r="F46" s="17"/>
      <c r="G46" s="28">
        <f t="shared" si="2"/>
        <v>0</v>
      </c>
      <c r="H46" s="28">
        <f t="shared" si="3"/>
        <v>0</v>
      </c>
      <c r="I46" s="1"/>
    </row>
    <row r="47" spans="2:9" ht="18.600000000000001" thickBot="1" x14ac:dyDescent="0.4">
      <c r="B47" s="97" t="s">
        <v>52</v>
      </c>
      <c r="C47" s="98"/>
      <c r="D47" s="98"/>
      <c r="E47" s="99"/>
      <c r="F47" s="26">
        <f>SUM(F48:F52)</f>
        <v>216040</v>
      </c>
      <c r="G47" s="26">
        <f>SUM(G48:G52)</f>
        <v>41047.599999999999</v>
      </c>
      <c r="H47" s="26">
        <f>SUM(H48:H52)</f>
        <v>257087.6</v>
      </c>
      <c r="I47" s="1"/>
    </row>
    <row r="48" spans="2:9" x14ac:dyDescent="0.3">
      <c r="B48" s="13"/>
      <c r="C48" s="14"/>
      <c r="D48" s="15"/>
      <c r="E48" s="15"/>
      <c r="F48" s="17"/>
      <c r="G48" s="28">
        <f>F48*19%</f>
        <v>0</v>
      </c>
      <c r="H48" s="28">
        <f>F48+G48</f>
        <v>0</v>
      </c>
      <c r="I48" s="1"/>
    </row>
    <row r="49" spans="2:9" x14ac:dyDescent="0.3">
      <c r="B49" s="13"/>
      <c r="C49" s="14"/>
      <c r="D49" s="15" t="s">
        <v>53</v>
      </c>
      <c r="E49" s="18" t="s">
        <v>54</v>
      </c>
      <c r="F49" s="17">
        <f>31900*4</f>
        <v>127600</v>
      </c>
      <c r="G49" s="28">
        <f>F49*19%</f>
        <v>24244</v>
      </c>
      <c r="H49" s="28">
        <f>F49+G49</f>
        <v>151844</v>
      </c>
      <c r="I49" s="1"/>
    </row>
    <row r="50" spans="2:9" x14ac:dyDescent="0.3">
      <c r="B50" s="13"/>
      <c r="C50" s="14"/>
      <c r="D50" s="15" t="s">
        <v>53</v>
      </c>
      <c r="E50" s="15" t="s">
        <v>55</v>
      </c>
      <c r="F50" s="17">
        <f>24500*1</f>
        <v>24500</v>
      </c>
      <c r="G50" s="28">
        <f>F50*19%</f>
        <v>4655</v>
      </c>
      <c r="H50" s="28">
        <f>F50+G50</f>
        <v>29155</v>
      </c>
      <c r="I50" s="1"/>
    </row>
    <row r="51" spans="2:9" x14ac:dyDescent="0.3">
      <c r="B51" s="13"/>
      <c r="C51" s="14"/>
      <c r="D51" s="15" t="s">
        <v>56</v>
      </c>
      <c r="E51" s="15" t="s">
        <v>57</v>
      </c>
      <c r="F51" s="17">
        <f>2780*23</f>
        <v>63940</v>
      </c>
      <c r="G51" s="28">
        <f>F51*19%</f>
        <v>12148.6</v>
      </c>
      <c r="H51" s="28">
        <f>F51+G51</f>
        <v>76088.600000000006</v>
      </c>
      <c r="I51" s="1"/>
    </row>
    <row r="52" spans="2:9" ht="15" thickBot="1" x14ac:dyDescent="0.35">
      <c r="B52" s="13"/>
      <c r="C52" s="14"/>
      <c r="D52" s="15"/>
      <c r="E52" s="15"/>
      <c r="F52" s="17"/>
      <c r="G52" s="17"/>
      <c r="H52" s="28">
        <f>F52+G52</f>
        <v>0</v>
      </c>
      <c r="I52" s="1"/>
    </row>
    <row r="53" spans="2:9" ht="18.600000000000001" thickBot="1" x14ac:dyDescent="0.4">
      <c r="B53" s="100" t="s">
        <v>8</v>
      </c>
      <c r="C53" s="101"/>
      <c r="D53" s="101"/>
      <c r="E53" s="102"/>
      <c r="F53" s="10"/>
      <c r="G53" s="10"/>
      <c r="H53" s="11">
        <f>F53-F54</f>
        <v>0</v>
      </c>
      <c r="I53" s="1"/>
    </row>
    <row r="54" spans="2:9" ht="18.600000000000001" thickBot="1" x14ac:dyDescent="0.4">
      <c r="B54" s="103" t="s">
        <v>58</v>
      </c>
      <c r="C54" s="104"/>
      <c r="D54" s="104"/>
      <c r="E54" s="105"/>
      <c r="F54" s="33">
        <f>SUM(F56:F59)</f>
        <v>0</v>
      </c>
      <c r="G54" s="33">
        <f>SUM(G56:G59)</f>
        <v>0</v>
      </c>
      <c r="H54" s="27">
        <f>SUM(H56:H59)</f>
        <v>0</v>
      </c>
      <c r="I54" s="1"/>
    </row>
    <row r="55" spans="2:9" ht="18" x14ac:dyDescent="0.35">
      <c r="B55" s="34"/>
      <c r="C55" s="34"/>
      <c r="D55" s="34"/>
      <c r="E55" s="34"/>
      <c r="F55" s="35"/>
      <c r="G55" s="35"/>
      <c r="H55" s="36"/>
      <c r="I55" s="1"/>
    </row>
    <row r="56" spans="2:9" x14ac:dyDescent="0.3">
      <c r="B56" s="13"/>
      <c r="C56" s="14"/>
      <c r="D56" s="15"/>
      <c r="E56" s="15"/>
      <c r="F56" s="16"/>
      <c r="G56" s="28"/>
      <c r="H56" s="28"/>
      <c r="I56" s="1"/>
    </row>
    <row r="57" spans="2:9" x14ac:dyDescent="0.3">
      <c r="B57" s="13"/>
      <c r="C57" s="37"/>
      <c r="D57" s="15"/>
      <c r="E57" s="15"/>
      <c r="F57" s="16"/>
      <c r="G57" s="28"/>
      <c r="H57" s="28"/>
      <c r="I57" s="1"/>
    </row>
    <row r="58" spans="2:9" x14ac:dyDescent="0.3">
      <c r="B58" s="13"/>
      <c r="C58" s="14"/>
      <c r="D58" s="15"/>
      <c r="E58" s="15"/>
      <c r="F58" s="16"/>
      <c r="G58" s="28"/>
      <c r="H58" s="28"/>
      <c r="I58" s="1"/>
    </row>
    <row r="59" spans="2:9" ht="15" thickBot="1" x14ac:dyDescent="0.35">
      <c r="B59" s="13"/>
      <c r="C59" s="14"/>
      <c r="D59" s="15"/>
      <c r="E59" s="15"/>
      <c r="F59" s="17"/>
      <c r="G59" s="28">
        <f>F59*19%</f>
        <v>0</v>
      </c>
      <c r="H59" s="28">
        <f>F59+G59</f>
        <v>0</v>
      </c>
      <c r="I59" s="1"/>
    </row>
    <row r="60" spans="2:9" ht="18.600000000000001" thickBot="1" x14ac:dyDescent="0.4">
      <c r="B60" s="38" t="s">
        <v>59</v>
      </c>
      <c r="C60" s="39"/>
      <c r="D60" s="39"/>
      <c r="E60" s="40"/>
      <c r="F60" s="26">
        <f>SUM(F61:F63)</f>
        <v>0</v>
      </c>
      <c r="G60" s="26">
        <f>SUM(G61:G63)</f>
        <v>0</v>
      </c>
      <c r="H60" s="27">
        <f>SUM(H61:H63)</f>
        <v>0</v>
      </c>
      <c r="I60" s="1"/>
    </row>
    <row r="61" spans="2:9" x14ac:dyDescent="0.3">
      <c r="B61" s="13"/>
      <c r="C61" s="14"/>
      <c r="D61" s="15"/>
      <c r="E61" s="15"/>
      <c r="F61" s="17"/>
      <c r="G61" s="28">
        <f>F61*19%</f>
        <v>0</v>
      </c>
      <c r="H61" s="28">
        <f>F61+G61</f>
        <v>0</v>
      </c>
      <c r="I61" s="1"/>
    </row>
    <row r="62" spans="2:9" x14ac:dyDescent="0.3">
      <c r="B62" s="41"/>
      <c r="C62" s="42"/>
      <c r="D62" s="43"/>
      <c r="E62" s="43"/>
      <c r="F62" s="28"/>
      <c r="G62" s="28"/>
      <c r="H62" s="28"/>
      <c r="I62" s="1"/>
    </row>
    <row r="63" spans="2:9" ht="15" thickBot="1" x14ac:dyDescent="0.35">
      <c r="B63" s="41"/>
      <c r="C63" s="42"/>
      <c r="D63" s="43"/>
      <c r="E63" s="43"/>
      <c r="F63" s="28"/>
      <c r="G63" s="28"/>
      <c r="H63" s="28"/>
      <c r="I63" s="1"/>
    </row>
    <row r="64" spans="2:9" ht="18.600000000000001" thickBot="1" x14ac:dyDescent="0.4">
      <c r="B64" s="100" t="s">
        <v>8</v>
      </c>
      <c r="C64" s="101"/>
      <c r="D64" s="101"/>
      <c r="E64" s="102"/>
      <c r="F64" s="10"/>
      <c r="G64" s="10"/>
      <c r="H64" s="11">
        <f>F64-F65</f>
        <v>-3071572</v>
      </c>
      <c r="I64" s="1"/>
    </row>
    <row r="65" spans="2:9" ht="18.600000000000001" thickBot="1" x14ac:dyDescent="0.4">
      <c r="B65" s="38" t="s">
        <v>60</v>
      </c>
      <c r="C65" s="39"/>
      <c r="D65" s="39"/>
      <c r="E65" s="40"/>
      <c r="F65" s="26">
        <f>SUM(F66:F69)</f>
        <v>3071572</v>
      </c>
      <c r="G65" s="26">
        <f>SUM(G66:G69)</f>
        <v>583598.67999999993</v>
      </c>
      <c r="H65" s="26">
        <f>SUM(H66:H69)</f>
        <v>3655170.6799999997</v>
      </c>
      <c r="I65" s="1"/>
    </row>
    <row r="66" spans="2:9" x14ac:dyDescent="0.3">
      <c r="B66" s="13"/>
      <c r="C66" s="14"/>
      <c r="D66" s="15"/>
      <c r="E66" s="15"/>
      <c r="F66" s="16"/>
      <c r="G66" s="28">
        <f>F66*19%</f>
        <v>0</v>
      </c>
      <c r="H66" s="28">
        <f>F66+G66</f>
        <v>0</v>
      </c>
      <c r="I66" s="1"/>
    </row>
    <row r="67" spans="2:9" x14ac:dyDescent="0.3">
      <c r="B67" s="13">
        <v>46108</v>
      </c>
      <c r="C67" s="14">
        <v>8367</v>
      </c>
      <c r="D67" s="15" t="s">
        <v>61</v>
      </c>
      <c r="E67" s="15" t="s">
        <v>62</v>
      </c>
      <c r="F67" s="17">
        <v>357820</v>
      </c>
      <c r="G67" s="28">
        <f>F67*19%</f>
        <v>67985.8</v>
      </c>
      <c r="H67" s="29">
        <f>F67+G67</f>
        <v>425805.8</v>
      </c>
      <c r="I67" s="1"/>
    </row>
    <row r="68" spans="2:9" x14ac:dyDescent="0.3">
      <c r="B68" s="13">
        <v>46119</v>
      </c>
      <c r="C68" s="14">
        <v>26999</v>
      </c>
      <c r="D68" s="15" t="s">
        <v>63</v>
      </c>
      <c r="E68" s="15" t="s">
        <v>64</v>
      </c>
      <c r="F68" s="17">
        <v>1921152</v>
      </c>
      <c r="G68" s="28">
        <f>F68*19%</f>
        <v>365018.88</v>
      </c>
      <c r="H68" s="29">
        <f>F68+G68</f>
        <v>2286170.88</v>
      </c>
      <c r="I68" s="1"/>
    </row>
    <row r="69" spans="2:9" x14ac:dyDescent="0.3">
      <c r="B69" s="13">
        <v>46146</v>
      </c>
      <c r="C69" s="14">
        <v>66</v>
      </c>
      <c r="D69" s="15" t="s">
        <v>65</v>
      </c>
      <c r="E69" s="15" t="s">
        <v>66</v>
      </c>
      <c r="F69" s="16">
        <v>792600</v>
      </c>
      <c r="G69" s="28">
        <f>F69*19%</f>
        <v>150594</v>
      </c>
      <c r="H69" s="28">
        <f>F69+G69</f>
        <v>943194</v>
      </c>
      <c r="I69" s="1"/>
    </row>
    <row r="70" spans="2:9" ht="15" thickBot="1" x14ac:dyDescent="0.35">
      <c r="B70" s="13"/>
      <c r="C70" s="14"/>
      <c r="D70" s="15"/>
      <c r="E70" s="15"/>
      <c r="F70" s="17">
        <v>0</v>
      </c>
      <c r="G70" s="28">
        <f>F70*19%</f>
        <v>0</v>
      </c>
      <c r="H70" s="29">
        <f>F70+G70</f>
        <v>0</v>
      </c>
      <c r="I70" s="1"/>
    </row>
    <row r="71" spans="2:9" ht="18.600000000000001" thickBot="1" x14ac:dyDescent="0.4">
      <c r="B71" s="38" t="s">
        <v>67</v>
      </c>
      <c r="C71" s="39"/>
      <c r="D71" s="39"/>
      <c r="E71" s="40"/>
      <c r="F71" s="26">
        <f>SUM(F72:F78)</f>
        <v>0</v>
      </c>
      <c r="G71" s="26">
        <f>SUM(G72:G78)</f>
        <v>0</v>
      </c>
      <c r="H71" s="27">
        <f>SUM(H72:H78)</f>
        <v>0</v>
      </c>
      <c r="I71" s="1"/>
    </row>
    <row r="72" spans="2:9" x14ac:dyDescent="0.3">
      <c r="B72" s="13"/>
      <c r="C72" s="14"/>
      <c r="D72" s="15"/>
      <c r="E72" s="17"/>
      <c r="F72" s="28">
        <f>E72*19%</f>
        <v>0</v>
      </c>
      <c r="G72" s="28">
        <f>E72+F72</f>
        <v>0</v>
      </c>
      <c r="H72" s="28"/>
      <c r="I72" s="1"/>
    </row>
    <row r="73" spans="2:9" x14ac:dyDescent="0.3">
      <c r="B73" s="13"/>
      <c r="C73" s="14"/>
      <c r="D73" s="15"/>
      <c r="E73" s="44"/>
      <c r="F73" s="28"/>
      <c r="G73" s="28"/>
      <c r="H73" s="28"/>
      <c r="I73" s="1"/>
    </row>
    <row r="74" spans="2:9" x14ac:dyDescent="0.3">
      <c r="B74" s="13"/>
      <c r="C74" s="14"/>
      <c r="D74" s="15"/>
      <c r="E74" s="44"/>
      <c r="F74" s="28"/>
      <c r="G74" s="28"/>
      <c r="H74" s="28"/>
      <c r="I74" s="1"/>
    </row>
    <row r="75" spans="2:9" x14ac:dyDescent="0.3">
      <c r="B75" s="13"/>
      <c r="C75" s="14"/>
      <c r="D75" s="15"/>
      <c r="E75" s="44"/>
      <c r="F75" s="28"/>
      <c r="G75" s="28"/>
      <c r="H75" s="28"/>
      <c r="I75" s="1"/>
    </row>
    <row r="76" spans="2:9" x14ac:dyDescent="0.3">
      <c r="B76" s="13"/>
      <c r="C76" s="14"/>
      <c r="D76" s="15"/>
      <c r="F76" s="28"/>
      <c r="G76" s="28"/>
      <c r="H76" s="28"/>
      <c r="I76" s="1"/>
    </row>
    <row r="77" spans="2:9" x14ac:dyDescent="0.3">
      <c r="B77" s="13"/>
      <c r="C77" s="14"/>
      <c r="D77" s="15"/>
      <c r="E77" s="16"/>
      <c r="F77" s="28"/>
      <c r="G77" s="28"/>
      <c r="H77" s="28"/>
      <c r="I77" s="1"/>
    </row>
    <row r="78" spans="2:9" x14ac:dyDescent="0.3">
      <c r="B78" s="13"/>
      <c r="C78" s="14"/>
      <c r="D78" s="15"/>
      <c r="E78" s="16"/>
      <c r="F78" s="28"/>
      <c r="G78" s="28"/>
      <c r="H78" s="28"/>
      <c r="I78" s="1"/>
    </row>
    <row r="79" spans="2:9" x14ac:dyDescent="0.3">
      <c r="F79" s="45"/>
      <c r="G79" s="46"/>
      <c r="H79" s="47"/>
      <c r="I79" s="48"/>
    </row>
    <row r="80" spans="2:9" x14ac:dyDescent="0.3">
      <c r="B80" s="49" t="s">
        <v>68</v>
      </c>
      <c r="C80" s="50">
        <f>E91</f>
        <v>11537115.699999999</v>
      </c>
      <c r="D80" s="49" t="s">
        <v>69</v>
      </c>
      <c r="F80" s="50"/>
      <c r="I80" s="1"/>
    </row>
    <row r="81" spans="2:13" x14ac:dyDescent="0.3">
      <c r="B81" s="49" t="s">
        <v>70</v>
      </c>
      <c r="C81" s="50">
        <v>29869454</v>
      </c>
      <c r="D81" s="49" t="s">
        <v>69</v>
      </c>
      <c r="F81" s="51"/>
      <c r="H81" s="50"/>
      <c r="I81" s="1"/>
    </row>
    <row r="82" spans="2:13" x14ac:dyDescent="0.3">
      <c r="B82" s="52" t="s">
        <v>71</v>
      </c>
      <c r="C82" s="53">
        <f>C81-C80</f>
        <v>18332338.300000001</v>
      </c>
      <c r="D82" s="53"/>
      <c r="E82" s="49"/>
      <c r="F82" s="50"/>
      <c r="H82" s="50"/>
      <c r="I82" s="1"/>
    </row>
    <row r="83" spans="2:13" x14ac:dyDescent="0.3">
      <c r="B83" s="49"/>
      <c r="C83" s="45"/>
      <c r="D83" s="45"/>
      <c r="E83" s="49"/>
      <c r="F83" s="50"/>
      <c r="I83" s="1"/>
    </row>
    <row r="84" spans="2:13" ht="15" thickBot="1" x14ac:dyDescent="0.35">
      <c r="I84" s="1"/>
    </row>
    <row r="85" spans="2:13" ht="15" thickBot="1" x14ac:dyDescent="0.35">
      <c r="B85" s="54"/>
      <c r="C85" s="55" t="s">
        <v>72</v>
      </c>
      <c r="D85" s="55" t="s">
        <v>73</v>
      </c>
      <c r="E85" s="55" t="s">
        <v>74</v>
      </c>
      <c r="F85" s="56" t="s">
        <v>75</v>
      </c>
      <c r="H85" s="57" t="s">
        <v>76</v>
      </c>
      <c r="I85" s="1"/>
    </row>
    <row r="86" spans="2:13" x14ac:dyDescent="0.3">
      <c r="B86" s="58" t="s">
        <v>77</v>
      </c>
      <c r="C86" s="59">
        <f>6305719+1405000+1157500</f>
        <v>8868219</v>
      </c>
      <c r="D86" s="59">
        <f>13971327+2094814+4280589</f>
        <v>20346730</v>
      </c>
      <c r="E86" s="60">
        <f>F7+F31+F38+F47</f>
        <v>3184965</v>
      </c>
      <c r="F86" s="61">
        <f>C86-E86</f>
        <v>5683254</v>
      </c>
      <c r="G86" s="62">
        <f>C86-E86-E89</f>
        <v>2611682</v>
      </c>
      <c r="H86" s="63">
        <f>D86-E86-E87-E89-E90</f>
        <v>10024614.300000001</v>
      </c>
      <c r="I86" s="1"/>
      <c r="K86" s="50">
        <f>E86+E89</f>
        <v>6256537</v>
      </c>
      <c r="L86" s="64">
        <f>C86</f>
        <v>8868219</v>
      </c>
      <c r="M86" s="65">
        <f>(K86/L86)</f>
        <v>0.70550095797138068</v>
      </c>
    </row>
    <row r="87" spans="2:13" x14ac:dyDescent="0.3">
      <c r="B87" s="58" t="s">
        <v>78</v>
      </c>
      <c r="C87" s="66">
        <f>3235000+30000+820000</f>
        <v>4085000</v>
      </c>
      <c r="D87" s="59">
        <v>0</v>
      </c>
      <c r="E87" s="60">
        <f>C109</f>
        <v>3016750</v>
      </c>
      <c r="F87" s="61">
        <f>C87-E87</f>
        <v>1068250</v>
      </c>
      <c r="G87" s="62">
        <f>C87-E87</f>
        <v>1068250</v>
      </c>
      <c r="H87" s="67"/>
      <c r="I87" s="1"/>
    </row>
    <row r="88" spans="2:13" x14ac:dyDescent="0.3">
      <c r="B88" s="58" t="s">
        <v>79</v>
      </c>
      <c r="C88" s="68">
        <v>1915000</v>
      </c>
      <c r="D88" s="68">
        <v>2583750</v>
      </c>
      <c r="E88" s="69">
        <f>C126+F71+C133</f>
        <v>1215000</v>
      </c>
      <c r="F88" s="61">
        <f>C88-E88</f>
        <v>700000</v>
      </c>
      <c r="H88" s="63">
        <f>D88-E88</f>
        <v>1368750</v>
      </c>
      <c r="I88" s="1"/>
    </row>
    <row r="89" spans="2:13" x14ac:dyDescent="0.3">
      <c r="B89" s="58" t="s">
        <v>80</v>
      </c>
      <c r="C89" s="68">
        <f>4716819+50000</f>
        <v>4766819</v>
      </c>
      <c r="D89" s="68">
        <v>6938974</v>
      </c>
      <c r="E89" s="68">
        <f>F65</f>
        <v>3071572</v>
      </c>
      <c r="F89" s="70">
        <f>C89-E89</f>
        <v>1695247</v>
      </c>
      <c r="H89" s="67"/>
      <c r="I89" s="1"/>
    </row>
    <row r="90" spans="2:13" ht="15" thickBot="1" x14ac:dyDescent="0.35">
      <c r="B90" s="58" t="s">
        <v>81</v>
      </c>
      <c r="C90" s="68">
        <f>477036+71750+98875+238341</f>
        <v>886002</v>
      </c>
      <c r="D90" s="68">
        <v>0</v>
      </c>
      <c r="E90" s="68">
        <f>(E86+E87+E88+E89)*10%</f>
        <v>1048828.7</v>
      </c>
      <c r="F90" s="61">
        <f>C90-E90</f>
        <v>-162826.69999999995</v>
      </c>
      <c r="H90" s="67"/>
      <c r="I90" s="1"/>
    </row>
    <row r="91" spans="2:13" ht="15" thickBot="1" x14ac:dyDescent="0.35">
      <c r="B91" s="106" t="s">
        <v>82</v>
      </c>
      <c r="C91" s="107"/>
      <c r="D91" s="71"/>
      <c r="E91" s="72">
        <f>SUM(E86:E90)</f>
        <v>11537115.699999999</v>
      </c>
      <c r="F91" s="73">
        <f>SUM(F86:F90)</f>
        <v>8983924.3000000007</v>
      </c>
      <c r="H91" s="74">
        <f>SUM(H86:H90)</f>
        <v>11393364.300000001</v>
      </c>
      <c r="I91" s="1"/>
    </row>
    <row r="92" spans="2:13" x14ac:dyDescent="0.3">
      <c r="I92" s="1"/>
    </row>
    <row r="93" spans="2:13" x14ac:dyDescent="0.3">
      <c r="H93" s="75" t="s">
        <v>72</v>
      </c>
      <c r="I93" s="1"/>
    </row>
    <row r="94" spans="2:13" x14ac:dyDescent="0.3">
      <c r="B94" s="85" t="s">
        <v>83</v>
      </c>
      <c r="C94" s="86"/>
      <c r="D94" s="87"/>
      <c r="F94" s="88" t="s">
        <v>84</v>
      </c>
      <c r="G94" s="90">
        <v>51</v>
      </c>
      <c r="H94" s="82">
        <v>74</v>
      </c>
      <c r="I94" s="84">
        <f>H94-G94</f>
        <v>23</v>
      </c>
    </row>
    <row r="95" spans="2:13" x14ac:dyDescent="0.3">
      <c r="B95" s="15" t="s">
        <v>85</v>
      </c>
      <c r="C95" s="76"/>
      <c r="D95" s="18"/>
      <c r="F95" s="89"/>
      <c r="G95" s="91"/>
      <c r="H95" s="83"/>
      <c r="I95" s="84"/>
    </row>
    <row r="96" spans="2:13" x14ac:dyDescent="0.3">
      <c r="B96" s="15" t="s">
        <v>86</v>
      </c>
      <c r="C96" s="19"/>
      <c r="D96" s="18"/>
      <c r="F96" s="88" t="s">
        <v>87</v>
      </c>
      <c r="G96" s="90">
        <v>34</v>
      </c>
      <c r="I96" s="1"/>
    </row>
    <row r="97" spans="2:9" x14ac:dyDescent="0.3">
      <c r="B97" s="15" t="s">
        <v>88</v>
      </c>
      <c r="C97" s="76"/>
      <c r="D97" s="18"/>
      <c r="F97" s="89"/>
      <c r="G97" s="91"/>
      <c r="I97" s="1"/>
    </row>
    <row r="98" spans="2:9" x14ac:dyDescent="0.3">
      <c r="B98" s="18" t="s">
        <v>89</v>
      </c>
      <c r="C98" s="76">
        <f>36000*13+15000*10+50000*3</f>
        <v>768000</v>
      </c>
      <c r="D98" s="18" t="s">
        <v>90</v>
      </c>
      <c r="F98" s="88" t="s">
        <v>91</v>
      </c>
      <c r="G98" s="90">
        <v>9</v>
      </c>
      <c r="I98" s="1"/>
    </row>
    <row r="99" spans="2:9" x14ac:dyDescent="0.3">
      <c r="B99" s="15" t="s">
        <v>92</v>
      </c>
      <c r="C99" s="76">
        <f>30000*12+15000*14+50000*3</f>
        <v>720000</v>
      </c>
      <c r="D99" s="18" t="s">
        <v>93</v>
      </c>
      <c r="F99" s="89"/>
      <c r="G99" s="91"/>
      <c r="I99" s="1"/>
    </row>
    <row r="100" spans="2:9" x14ac:dyDescent="0.3">
      <c r="B100" s="18" t="s">
        <v>94</v>
      </c>
      <c r="C100" s="76"/>
      <c r="D100" s="18"/>
      <c r="F100" s="92" t="s">
        <v>95</v>
      </c>
      <c r="G100" s="90"/>
      <c r="I100" s="1"/>
    </row>
    <row r="101" spans="2:9" x14ac:dyDescent="0.3">
      <c r="B101" s="18" t="s">
        <v>96</v>
      </c>
      <c r="C101" s="77">
        <f>48000*3</f>
        <v>144000</v>
      </c>
      <c r="D101" s="18" t="s">
        <v>97</v>
      </c>
      <c r="F101" s="93"/>
      <c r="G101" s="91"/>
      <c r="I101" s="1"/>
    </row>
    <row r="102" spans="2:9" x14ac:dyDescent="0.3">
      <c r="B102" s="18" t="s">
        <v>98</v>
      </c>
      <c r="C102" s="77">
        <f>42000*4</f>
        <v>168000</v>
      </c>
      <c r="D102" s="18" t="s">
        <v>99</v>
      </c>
      <c r="F102" s="88" t="s">
        <v>100</v>
      </c>
      <c r="G102" s="90">
        <v>29</v>
      </c>
      <c r="H102" s="82">
        <v>30</v>
      </c>
      <c r="I102" s="84">
        <f>H102-G102</f>
        <v>1</v>
      </c>
    </row>
    <row r="103" spans="2:9" x14ac:dyDescent="0.3">
      <c r="B103" s="18" t="s">
        <v>101</v>
      </c>
      <c r="C103" s="77">
        <f>48000*10+24000+15000*9+50000*2+25000</f>
        <v>764000</v>
      </c>
      <c r="D103" s="18" t="s">
        <v>102</v>
      </c>
      <c r="F103" s="89"/>
      <c r="G103" s="91"/>
      <c r="H103" s="83"/>
      <c r="I103" s="84"/>
    </row>
    <row r="104" spans="2:9" x14ac:dyDescent="0.3">
      <c r="B104" s="18" t="s">
        <v>103</v>
      </c>
      <c r="C104" s="77"/>
      <c r="D104" s="18"/>
      <c r="F104" s="78"/>
      <c r="G104" s="79"/>
      <c r="I104" s="1"/>
    </row>
    <row r="105" spans="2:9" x14ac:dyDescent="0.3">
      <c r="B105" s="18" t="s">
        <v>104</v>
      </c>
      <c r="C105" s="77"/>
      <c r="D105" s="18"/>
      <c r="F105" s="78"/>
      <c r="G105" s="79"/>
      <c r="I105" s="1"/>
    </row>
    <row r="106" spans="2:9" x14ac:dyDescent="0.3">
      <c r="B106" s="18" t="s">
        <v>105</v>
      </c>
      <c r="C106" s="77">
        <f>48000*8+18750+50000</f>
        <v>452750</v>
      </c>
      <c r="D106" s="18" t="s">
        <v>106</v>
      </c>
      <c r="F106" s="78"/>
      <c r="G106" s="79"/>
      <c r="I106" s="1"/>
    </row>
    <row r="107" spans="2:9" x14ac:dyDescent="0.3">
      <c r="B107" s="18" t="s">
        <v>107</v>
      </c>
      <c r="C107" s="77"/>
      <c r="D107" s="18"/>
      <c r="F107" s="78"/>
      <c r="G107" s="79"/>
      <c r="I107" s="1"/>
    </row>
    <row r="108" spans="2:9" x14ac:dyDescent="0.3">
      <c r="B108" s="15" t="s">
        <v>108</v>
      </c>
      <c r="C108" s="76"/>
      <c r="D108" s="18"/>
      <c r="F108" s="78"/>
      <c r="G108" s="79"/>
      <c r="I108" s="1"/>
    </row>
    <row r="109" spans="2:9" x14ac:dyDescent="0.3">
      <c r="C109" s="80">
        <f>SUM(C95:C108)</f>
        <v>3016750</v>
      </c>
      <c r="F109" s="78"/>
      <c r="G109" s="79"/>
      <c r="I109" s="1"/>
    </row>
    <row r="110" spans="2:9" x14ac:dyDescent="0.3">
      <c r="F110" s="78"/>
      <c r="G110" s="79"/>
      <c r="I110" s="1"/>
    </row>
    <row r="111" spans="2:9" x14ac:dyDescent="0.3">
      <c r="B111" s="85" t="s">
        <v>109</v>
      </c>
      <c r="C111" s="86"/>
      <c r="D111" s="87"/>
      <c r="I111" s="1"/>
    </row>
    <row r="112" spans="2:9" x14ac:dyDescent="0.3">
      <c r="B112" s="15" t="s">
        <v>85</v>
      </c>
      <c r="C112" s="76"/>
      <c r="D112" s="18"/>
      <c r="I112" s="1"/>
    </row>
    <row r="113" spans="2:9" x14ac:dyDescent="0.3">
      <c r="B113" s="15" t="s">
        <v>86</v>
      </c>
      <c r="C113" s="19"/>
      <c r="D113" s="18"/>
      <c r="I113" s="1"/>
    </row>
    <row r="114" spans="2:9" x14ac:dyDescent="0.3">
      <c r="B114" s="15" t="s">
        <v>88</v>
      </c>
      <c r="C114" s="76"/>
      <c r="D114" s="18"/>
      <c r="I114" s="1"/>
    </row>
    <row r="115" spans="2:9" x14ac:dyDescent="0.3">
      <c r="B115" s="18" t="s">
        <v>89</v>
      </c>
      <c r="C115" s="76">
        <f>36000*4</f>
        <v>144000</v>
      </c>
      <c r="D115" s="18" t="s">
        <v>110</v>
      </c>
      <c r="I115" s="1"/>
    </row>
    <row r="116" spans="2:9" x14ac:dyDescent="0.3">
      <c r="B116" s="15" t="s">
        <v>92</v>
      </c>
      <c r="C116" s="76">
        <f>30000*11+15000</f>
        <v>345000</v>
      </c>
      <c r="D116" s="18" t="s">
        <v>111</v>
      </c>
      <c r="I116" s="1"/>
    </row>
    <row r="117" spans="2:9" x14ac:dyDescent="0.3">
      <c r="B117" s="18" t="s">
        <v>94</v>
      </c>
      <c r="C117" s="76"/>
      <c r="D117" s="18"/>
      <c r="I117" s="1"/>
    </row>
    <row r="118" spans="2:9" x14ac:dyDescent="0.3">
      <c r="B118" s="18" t="s">
        <v>96</v>
      </c>
      <c r="C118" s="76"/>
      <c r="D118" s="18"/>
      <c r="I118" s="1"/>
    </row>
    <row r="119" spans="2:9" x14ac:dyDescent="0.3">
      <c r="B119" s="18" t="s">
        <v>98</v>
      </c>
      <c r="C119" s="77"/>
      <c r="D119" s="18"/>
      <c r="I119" s="1"/>
    </row>
    <row r="120" spans="2:9" x14ac:dyDescent="0.3">
      <c r="B120" s="18" t="s">
        <v>101</v>
      </c>
      <c r="C120" s="77">
        <f>48000*12+24000+48000</f>
        <v>648000</v>
      </c>
      <c r="D120" s="18" t="s">
        <v>112</v>
      </c>
      <c r="I120" s="1"/>
    </row>
    <row r="121" spans="2:9" x14ac:dyDescent="0.3">
      <c r="B121" s="18" t="s">
        <v>103</v>
      </c>
      <c r="C121" s="77">
        <f>39000*2</f>
        <v>78000</v>
      </c>
      <c r="D121" s="18" t="s">
        <v>113</v>
      </c>
      <c r="I121" s="1"/>
    </row>
    <row r="122" spans="2:9" x14ac:dyDescent="0.3">
      <c r="B122" s="18" t="s">
        <v>104</v>
      </c>
      <c r="C122" s="77"/>
      <c r="D122" s="18"/>
      <c r="I122" s="1"/>
    </row>
    <row r="123" spans="2:9" x14ac:dyDescent="0.3">
      <c r="B123" s="18" t="s">
        <v>114</v>
      </c>
      <c r="C123" s="77"/>
      <c r="D123" s="18"/>
      <c r="I123" s="1"/>
    </row>
    <row r="124" spans="2:9" x14ac:dyDescent="0.3">
      <c r="B124" s="18" t="s">
        <v>107</v>
      </c>
      <c r="C124" s="77"/>
      <c r="D124" s="18"/>
      <c r="I124" s="1"/>
    </row>
    <row r="125" spans="2:9" x14ac:dyDescent="0.3">
      <c r="B125" s="15" t="s">
        <v>108</v>
      </c>
      <c r="C125" s="76"/>
      <c r="D125" s="18"/>
      <c r="I125" s="1"/>
    </row>
    <row r="126" spans="2:9" x14ac:dyDescent="0.3">
      <c r="C126" s="80">
        <f>SUM(C112:C125)</f>
        <v>1215000</v>
      </c>
      <c r="I126" s="1"/>
    </row>
    <row r="127" spans="2:9" x14ac:dyDescent="0.3">
      <c r="I127" s="1"/>
    </row>
    <row r="128" spans="2:9" x14ac:dyDescent="0.3">
      <c r="B128" s="85" t="s">
        <v>115</v>
      </c>
      <c r="C128" s="86"/>
      <c r="D128" s="87"/>
      <c r="I128" s="1"/>
    </row>
    <row r="129" spans="2:9" x14ac:dyDescent="0.3">
      <c r="B129" s="18"/>
      <c r="C129" s="81"/>
      <c r="D129" s="18"/>
      <c r="I129" s="1"/>
    </row>
    <row r="130" spans="2:9" x14ac:dyDescent="0.3">
      <c r="B130" s="18"/>
      <c r="C130" s="81"/>
      <c r="D130" s="18"/>
      <c r="I130" s="1"/>
    </row>
    <row r="131" spans="2:9" x14ac:dyDescent="0.3">
      <c r="B131" s="15"/>
      <c r="C131" s="81"/>
      <c r="D131" s="18"/>
      <c r="I131" s="1"/>
    </row>
    <row r="132" spans="2:9" x14ac:dyDescent="0.3">
      <c r="B132" s="15"/>
      <c r="C132" s="81"/>
      <c r="D132" s="18"/>
      <c r="I132" s="1"/>
    </row>
    <row r="133" spans="2:9" x14ac:dyDescent="0.3">
      <c r="C133" s="80">
        <f>SUM(C129:C130)</f>
        <v>0</v>
      </c>
      <c r="I133" s="1"/>
    </row>
  </sheetData>
  <mergeCells count="29">
    <mergeCell ref="B37:E37"/>
    <mergeCell ref="D2:E2"/>
    <mergeCell ref="B6:E6"/>
    <mergeCell ref="B7:E7"/>
    <mergeCell ref="B30:E30"/>
    <mergeCell ref="B31:E31"/>
    <mergeCell ref="F96:F97"/>
    <mergeCell ref="G96:G97"/>
    <mergeCell ref="B38:E38"/>
    <mergeCell ref="B47:E47"/>
    <mergeCell ref="B53:E53"/>
    <mergeCell ref="B54:E54"/>
    <mergeCell ref="B64:E64"/>
    <mergeCell ref="B91:C91"/>
    <mergeCell ref="B94:D94"/>
    <mergeCell ref="F94:F95"/>
    <mergeCell ref="G94:G95"/>
    <mergeCell ref="H94:H95"/>
    <mergeCell ref="I94:I95"/>
    <mergeCell ref="H102:H103"/>
    <mergeCell ref="I102:I103"/>
    <mergeCell ref="B111:D111"/>
    <mergeCell ref="B128:D128"/>
    <mergeCell ref="F98:F99"/>
    <mergeCell ref="G98:G99"/>
    <mergeCell ref="F100:F101"/>
    <mergeCell ref="G100:G101"/>
    <mergeCell ref="F102:F103"/>
    <mergeCell ref="G102:G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9457-B86E-4021-BEB1-1BF24E5AFC1F}">
  <dimension ref="A1:Q36"/>
  <sheetViews>
    <sheetView showGridLines="0" tabSelected="1" workbookViewId="0">
      <selection activeCell="F98" sqref="F98:F99"/>
    </sheetView>
  </sheetViews>
  <sheetFormatPr baseColWidth="10" defaultRowHeight="14.4" x14ac:dyDescent="0.3"/>
  <cols>
    <col min="1" max="1" width="30.5546875" style="115" customWidth="1"/>
    <col min="2" max="8" width="15.21875" style="115" customWidth="1"/>
    <col min="9" max="9" width="3.33203125" style="115" customWidth="1"/>
    <col min="10" max="17" width="12.5546875" style="115" customWidth="1"/>
  </cols>
  <sheetData>
    <row r="1" spans="1:17" ht="34.049999999999997" customHeight="1" x14ac:dyDescent="0.3">
      <c r="A1" s="118" t="s">
        <v>116</v>
      </c>
      <c r="B1" s="118"/>
      <c r="C1" s="118"/>
      <c r="D1" s="118"/>
      <c r="E1" s="118"/>
      <c r="F1" s="118"/>
      <c r="G1" s="118"/>
      <c r="H1" s="118"/>
      <c r="I1" s="119"/>
      <c r="J1" s="119"/>
      <c r="K1" s="119"/>
      <c r="L1" s="119"/>
      <c r="M1" s="119"/>
      <c r="N1" s="119"/>
      <c r="O1" s="119"/>
      <c r="P1" s="119"/>
      <c r="Q1" s="119"/>
    </row>
    <row r="2" spans="1:17" ht="24" customHeight="1" x14ac:dyDescent="0.3">
      <c r="A2" s="120" t="s">
        <v>117</v>
      </c>
      <c r="B2" s="120"/>
      <c r="C2" s="120"/>
      <c r="D2" s="120"/>
      <c r="E2" s="120"/>
      <c r="F2" s="120"/>
      <c r="G2" s="120"/>
      <c r="H2" s="120"/>
      <c r="I2" s="119"/>
      <c r="J2" s="119"/>
      <c r="K2" s="119"/>
      <c r="L2" s="119"/>
      <c r="M2" s="119"/>
      <c r="N2" s="119"/>
      <c r="O2" s="119"/>
      <c r="P2" s="119"/>
      <c r="Q2" s="119"/>
    </row>
    <row r="3" spans="1:17" ht="19.95" customHeight="1" x14ac:dyDescent="0.3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</row>
    <row r="4" spans="1:17" ht="19.95" customHeight="1" x14ac:dyDescent="0.3">
      <c r="A4" s="121" t="s">
        <v>118</v>
      </c>
      <c r="B4" s="121"/>
      <c r="C4" s="121" t="s">
        <v>119</v>
      </c>
      <c r="D4" s="121"/>
      <c r="E4" s="121" t="s">
        <v>120</v>
      </c>
      <c r="F4" s="121"/>
      <c r="G4" s="122" t="s">
        <v>121</v>
      </c>
      <c r="H4" s="122"/>
      <c r="I4" s="119"/>
      <c r="J4" s="119"/>
      <c r="K4" s="119"/>
      <c r="L4" s="119"/>
      <c r="M4" s="119"/>
      <c r="N4" s="119"/>
      <c r="O4" s="119"/>
      <c r="P4" s="119"/>
      <c r="Q4" s="119"/>
    </row>
    <row r="5" spans="1:17" ht="19.95" customHeight="1" x14ac:dyDescent="0.3">
      <c r="A5" s="116">
        <f>Hoja1!C81</f>
        <v>29869454</v>
      </c>
      <c r="B5" s="116"/>
      <c r="C5" s="116">
        <f>Hoja1!E91</f>
        <v>11537115.699999999</v>
      </c>
      <c r="D5" s="116"/>
      <c r="E5" s="116">
        <f>Hoja1!C81-Hoja1!E91</f>
        <v>18332338.300000001</v>
      </c>
      <c r="F5" s="116"/>
      <c r="G5" s="117">
        <f>(Hoja1!C81-Hoja1!E91)/Hoja1!C81</f>
        <v>0.61374869122147335</v>
      </c>
      <c r="H5" s="117"/>
      <c r="I5" s="119"/>
      <c r="J5" s="119"/>
      <c r="K5" s="119"/>
      <c r="L5" s="119"/>
      <c r="M5" s="119"/>
      <c r="N5" s="119"/>
      <c r="O5" s="119"/>
      <c r="P5" s="119"/>
      <c r="Q5" s="119"/>
    </row>
    <row r="6" spans="1:17" ht="19.95" customHeight="1" x14ac:dyDescent="0.3">
      <c r="A6" s="116"/>
      <c r="B6" s="116"/>
      <c r="C6" s="116"/>
      <c r="D6" s="116"/>
      <c r="E6" s="116"/>
      <c r="F6" s="116"/>
      <c r="G6" s="117"/>
      <c r="H6" s="117"/>
      <c r="I6" s="119"/>
      <c r="J6" s="119"/>
      <c r="K6" s="119"/>
      <c r="L6" s="119"/>
      <c r="M6" s="119"/>
      <c r="N6" s="119"/>
      <c r="O6" s="119"/>
      <c r="P6" s="119"/>
      <c r="Q6" s="119"/>
    </row>
    <row r="7" spans="1:17" ht="19.95" customHeight="1" x14ac:dyDescent="0.3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</row>
    <row r="8" spans="1:17" ht="19.95" customHeight="1" x14ac:dyDescent="0.3">
      <c r="A8" s="121" t="s">
        <v>122</v>
      </c>
      <c r="B8" s="121"/>
      <c r="C8" s="121" t="s">
        <v>123</v>
      </c>
      <c r="D8" s="121"/>
      <c r="E8" s="121" t="s">
        <v>124</v>
      </c>
      <c r="F8" s="121"/>
      <c r="G8" s="122" t="s">
        <v>125</v>
      </c>
      <c r="H8" s="122"/>
      <c r="I8" s="119"/>
      <c r="J8" s="119"/>
      <c r="K8" s="119"/>
      <c r="L8" s="119"/>
      <c r="M8" s="119"/>
      <c r="N8" s="119"/>
      <c r="O8" s="119"/>
      <c r="P8" s="119"/>
      <c r="Q8" s="119"/>
    </row>
    <row r="9" spans="1:17" ht="19.95" customHeight="1" x14ac:dyDescent="0.3">
      <c r="A9" s="116">
        <f>SUM(Hoja1!C86:C90)</f>
        <v>20521040</v>
      </c>
      <c r="B9" s="116"/>
      <c r="C9" s="116">
        <f>SUM(Hoja1!C86:C90)-Hoja1!E91</f>
        <v>8983924.3000000007</v>
      </c>
      <c r="D9" s="116"/>
      <c r="E9" s="117">
        <f>(SUM(Hoja1!C86:C90)-Hoja1!E91)/SUM(Hoja1!C86:C90)</f>
        <v>0.43779088681665262</v>
      </c>
      <c r="F9" s="117"/>
      <c r="G9" s="116">
        <f>Hoja1!H91</f>
        <v>11393364.300000001</v>
      </c>
      <c r="H9" s="116"/>
      <c r="I9" s="119"/>
      <c r="J9" s="119"/>
      <c r="K9" s="119"/>
      <c r="L9" s="119"/>
      <c r="M9" s="119"/>
      <c r="N9" s="119"/>
      <c r="O9" s="119"/>
      <c r="P9" s="119"/>
      <c r="Q9" s="119"/>
    </row>
    <row r="10" spans="1:17" ht="19.95" customHeight="1" x14ac:dyDescent="0.3">
      <c r="A10" s="116"/>
      <c r="B10" s="116"/>
      <c r="C10" s="116"/>
      <c r="D10" s="116"/>
      <c r="E10" s="117"/>
      <c r="F10" s="117"/>
      <c r="G10" s="116"/>
      <c r="H10" s="116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19.95" customHeight="1" x14ac:dyDescent="0.3">
      <c r="A11" s="123" t="s">
        <v>126</v>
      </c>
      <c r="B11" s="123"/>
      <c r="C11" s="123"/>
      <c r="D11" s="123"/>
      <c r="E11" s="123"/>
      <c r="F11" s="123"/>
      <c r="G11" s="123"/>
      <c r="H11" s="123"/>
      <c r="I11" s="119"/>
      <c r="J11" s="119"/>
      <c r="K11" s="119"/>
      <c r="L11" s="119"/>
      <c r="M11" s="119"/>
      <c r="N11" s="119"/>
      <c r="O11" s="119"/>
      <c r="P11" s="119"/>
      <c r="Q11" s="119"/>
    </row>
    <row r="12" spans="1:17" ht="19.95" customHeight="1" x14ac:dyDescent="0.3">
      <c r="A12" s="124" t="s">
        <v>127</v>
      </c>
      <c r="B12" s="124" t="s">
        <v>72</v>
      </c>
      <c r="C12" s="124" t="s">
        <v>128</v>
      </c>
      <c r="D12" s="124" t="s">
        <v>129</v>
      </c>
      <c r="E12" s="124" t="s">
        <v>130</v>
      </c>
      <c r="F12" s="124" t="s">
        <v>131</v>
      </c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9.95" customHeight="1" x14ac:dyDescent="0.3">
      <c r="A13" s="119" t="s">
        <v>132</v>
      </c>
      <c r="B13" s="125">
        <f>Hoja1!C86</f>
        <v>8868219</v>
      </c>
      <c r="C13" s="125">
        <f>Hoja1!E86</f>
        <v>3184965</v>
      </c>
      <c r="D13" s="125">
        <f>B13-C13</f>
        <v>5683254</v>
      </c>
      <c r="E13" s="126">
        <f>IFERROR(D13/B13,0)</f>
        <v>0.6408562982037318</v>
      </c>
      <c r="F13" s="119" t="str">
        <f>IF(D13&gt;=0,"Favorable","Sobrecosto")</f>
        <v>Favorable</v>
      </c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</row>
    <row r="14" spans="1:17" ht="19.95" customHeight="1" x14ac:dyDescent="0.3">
      <c r="A14" s="119" t="s">
        <v>133</v>
      </c>
      <c r="B14" s="125">
        <f>Hoja1!C87</f>
        <v>4085000</v>
      </c>
      <c r="C14" s="125">
        <f>Hoja1!E87</f>
        <v>3016750</v>
      </c>
      <c r="D14" s="125">
        <f t="shared" ref="D14:D17" si="0">B14-C14</f>
        <v>1068250</v>
      </c>
      <c r="E14" s="126">
        <f t="shared" ref="E14:E18" si="1">IFERROR(D14/B14,0)</f>
        <v>0.26150550795593636</v>
      </c>
      <c r="F14" s="119" t="str">
        <f t="shared" ref="F14:F18" si="2">IF(D14&gt;=0,"Favorable","Sobrecosto")</f>
        <v>Favorable</v>
      </c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</row>
    <row r="15" spans="1:17" ht="19.95" customHeight="1" x14ac:dyDescent="0.3">
      <c r="A15" s="119" t="s">
        <v>134</v>
      </c>
      <c r="B15" s="125">
        <f>Hoja1!C88</f>
        <v>1915000</v>
      </c>
      <c r="C15" s="125">
        <f>Hoja1!E88</f>
        <v>1215000</v>
      </c>
      <c r="D15" s="125">
        <f t="shared" si="0"/>
        <v>700000</v>
      </c>
      <c r="E15" s="126">
        <f t="shared" si="1"/>
        <v>0.36553524804177545</v>
      </c>
      <c r="F15" s="119" t="str">
        <f t="shared" si="2"/>
        <v>Favorable</v>
      </c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</row>
    <row r="16" spans="1:17" ht="19.95" customHeight="1" x14ac:dyDescent="0.3">
      <c r="A16" s="119" t="s">
        <v>135</v>
      </c>
      <c r="B16" s="125">
        <f>Hoja1!C89</f>
        <v>4766819</v>
      </c>
      <c r="C16" s="125">
        <f>Hoja1!E89</f>
        <v>3071572</v>
      </c>
      <c r="D16" s="125">
        <f t="shared" si="0"/>
        <v>1695247</v>
      </c>
      <c r="E16" s="126">
        <f t="shared" si="1"/>
        <v>0.35563485838249786</v>
      </c>
      <c r="F16" s="119" t="str">
        <f t="shared" si="2"/>
        <v>Favorable</v>
      </c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</row>
    <row r="17" spans="1:17" ht="19.95" customHeight="1" x14ac:dyDescent="0.3">
      <c r="A17" s="119" t="s">
        <v>136</v>
      </c>
      <c r="B17" s="125">
        <f>Hoja1!C90</f>
        <v>886002</v>
      </c>
      <c r="C17" s="125">
        <f>Hoja1!E90</f>
        <v>1048828.7</v>
      </c>
      <c r="D17" s="125">
        <f t="shared" si="0"/>
        <v>-162826.69999999995</v>
      </c>
      <c r="E17" s="126">
        <f t="shared" si="1"/>
        <v>-0.18377689892347868</v>
      </c>
      <c r="F17" s="119" t="str">
        <f t="shared" si="2"/>
        <v>Sobrecosto</v>
      </c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</row>
    <row r="18" spans="1:17" ht="19.95" customHeight="1" x14ac:dyDescent="0.3">
      <c r="A18" s="127" t="s">
        <v>6</v>
      </c>
      <c r="B18" s="128">
        <f>SUM(B13:B17)</f>
        <v>20521040</v>
      </c>
      <c r="C18" s="128">
        <f>SUM(C13:C17)</f>
        <v>11537115.699999999</v>
      </c>
      <c r="D18" s="128">
        <f>B18-C18</f>
        <v>8983924.3000000007</v>
      </c>
      <c r="E18" s="129">
        <f>IFERROR(D18/B18,0)</f>
        <v>0.43779088681665262</v>
      </c>
      <c r="F18" s="127" t="str">
        <f>IF(D18&gt;=0,"Favorable","Sobrecosto")</f>
        <v>Favorable</v>
      </c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</row>
    <row r="19" spans="1:17" ht="19.95" customHeight="1" x14ac:dyDescent="0.3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</row>
    <row r="20" spans="1:17" ht="19.95" customHeight="1" x14ac:dyDescent="0.3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</row>
    <row r="21" spans="1:17" ht="19.95" customHeight="1" x14ac:dyDescent="0.3">
      <c r="A21" s="123" t="s">
        <v>137</v>
      </c>
      <c r="B21" s="123"/>
      <c r="C21" s="123"/>
      <c r="D21" s="123"/>
      <c r="E21" s="123"/>
      <c r="F21" s="123"/>
      <c r="G21" s="123"/>
      <c r="H21" s="123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1:17" ht="19.95" customHeight="1" x14ac:dyDescent="0.3">
      <c r="A22" s="124" t="s">
        <v>138</v>
      </c>
      <c r="B22" s="124" t="s">
        <v>139</v>
      </c>
      <c r="C22" s="119"/>
      <c r="D22" s="124" t="s">
        <v>138</v>
      </c>
      <c r="E22" s="124" t="s">
        <v>139</v>
      </c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</row>
    <row r="23" spans="1:17" ht="19.95" customHeight="1" x14ac:dyDescent="0.3">
      <c r="A23" s="119" t="s">
        <v>140</v>
      </c>
      <c r="B23" s="135">
        <f>COUNTIF(Hoja1!F9:F28,"&gt;0")+COUNTIF(Hoja1!F33:F35,"&gt;0")+COUNTIF(Hoja1!F40:F45,"&gt;0")+COUNTIF(Hoja1!F49:F51,"&gt;0")+COUNTIF(Hoja1!F67:F69,"&gt;0")</f>
        <v>34</v>
      </c>
      <c r="C23" s="119"/>
      <c r="D23" s="119" t="s">
        <v>144</v>
      </c>
      <c r="E23" s="130">
        <f>IFERROR(B24/B23,0)</f>
        <v>0.8529411764705882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</row>
    <row r="24" spans="1:17" ht="19.95" customHeight="1" x14ac:dyDescent="0.3">
      <c r="A24" s="119" t="s">
        <v>141</v>
      </c>
      <c r="B24" s="135">
        <f>COUNT(Hoja1!B9:B28)+COUNT(Hoja1!B33:B35)+COUNT(Hoja1!B40:B45)+COUNT(Hoja1!B49:B51)+COUNT(Hoja1!B67:B69)</f>
        <v>29</v>
      </c>
      <c r="C24" s="119"/>
      <c r="D24" s="119" t="s">
        <v>145</v>
      </c>
      <c r="E24" s="130">
        <f>IFERROR(B25/B23,0)</f>
        <v>0.8529411764705882</v>
      </c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</row>
    <row r="25" spans="1:17" ht="19.95" customHeight="1" x14ac:dyDescent="0.3">
      <c r="A25" s="119" t="s">
        <v>142</v>
      </c>
      <c r="B25" s="135">
        <f>COUNT(Hoja1!C9:C28)+COUNT(Hoja1!C33:C35)+COUNT(Hoja1!C40:C45)+COUNT(Hoja1!C49:C51)+COUNT(Hoja1!C67:C69)</f>
        <v>29</v>
      </c>
      <c r="C25" s="119"/>
      <c r="D25" s="119" t="s">
        <v>146</v>
      </c>
      <c r="E25" s="130">
        <f>IFERROR(B26/B23,0)</f>
        <v>5.8823529411764705E-2</v>
      </c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1:17" ht="19.95" customHeight="1" x14ac:dyDescent="0.3">
      <c r="A26" s="119" t="s">
        <v>143</v>
      </c>
      <c r="B26" s="135">
        <f>COUNTA(Hoja1!I9:I28)+COUNTA(Hoja1!I33:I35)+COUNTA(Hoja1!I40:I45)+COUNTA(Hoja1!I49:I51)+COUNTA(Hoja1!I67:I69)</f>
        <v>2</v>
      </c>
      <c r="C26" s="119"/>
      <c r="D26" s="119" t="s">
        <v>147</v>
      </c>
      <c r="E26" s="131">
        <f>SUM(Hoja1!F40:F41)</f>
        <v>92400</v>
      </c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 spans="1:17" ht="19.95" customHeight="1" x14ac:dyDescent="0.3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  <row r="28" spans="1:17" ht="19.95" customHeight="1" x14ac:dyDescent="0.3">
      <c r="A28" s="119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</row>
    <row r="29" spans="1:17" ht="19.95" customHeight="1" x14ac:dyDescent="0.3">
      <c r="A29" s="132" t="s">
        <v>148</v>
      </c>
      <c r="B29" s="132"/>
      <c r="C29" s="132"/>
      <c r="D29" s="132"/>
      <c r="E29" s="132"/>
      <c r="F29" s="132"/>
      <c r="G29" s="132"/>
      <c r="H29" s="132"/>
      <c r="I29" s="119"/>
      <c r="J29" s="119"/>
      <c r="K29" s="119"/>
      <c r="L29" s="119"/>
      <c r="M29" s="119"/>
      <c r="N29" s="119"/>
      <c r="O29" s="119"/>
      <c r="P29" s="119"/>
      <c r="Q29" s="119"/>
    </row>
    <row r="30" spans="1:17" ht="31.05" customHeight="1" x14ac:dyDescent="0.3">
      <c r="A30" s="133" t="s">
        <v>149</v>
      </c>
      <c r="B30" s="133"/>
      <c r="C30" s="133"/>
      <c r="D30" s="133"/>
      <c r="E30" s="133"/>
      <c r="F30" s="133"/>
      <c r="G30" s="133"/>
      <c r="H30" s="133"/>
      <c r="I30" s="119"/>
      <c r="J30" s="119"/>
      <c r="K30" s="119"/>
      <c r="L30" s="119"/>
      <c r="M30" s="119"/>
      <c r="N30" s="119"/>
      <c r="O30" s="119"/>
      <c r="P30" s="119"/>
      <c r="Q30" s="119"/>
    </row>
    <row r="31" spans="1:17" ht="31.05" customHeight="1" x14ac:dyDescent="0.3">
      <c r="A31" s="134" t="s">
        <v>150</v>
      </c>
      <c r="B31" s="134"/>
      <c r="C31" s="134"/>
      <c r="D31" s="134"/>
      <c r="E31" s="134"/>
      <c r="F31" s="134"/>
      <c r="G31" s="134"/>
      <c r="H31" s="134"/>
      <c r="I31" s="119"/>
      <c r="J31" s="119"/>
      <c r="K31" s="119"/>
      <c r="L31" s="119"/>
      <c r="M31" s="119"/>
      <c r="N31" s="119"/>
      <c r="O31" s="119"/>
      <c r="P31" s="119"/>
      <c r="Q31" s="119"/>
    </row>
    <row r="32" spans="1:17" ht="31.05" customHeight="1" x14ac:dyDescent="0.3">
      <c r="A32" s="133" t="s">
        <v>151</v>
      </c>
      <c r="B32" s="133"/>
      <c r="C32" s="133"/>
      <c r="D32" s="133"/>
      <c r="E32" s="133"/>
      <c r="F32" s="133"/>
      <c r="G32" s="133"/>
      <c r="H32" s="133"/>
      <c r="I32" s="119"/>
      <c r="J32" s="119"/>
      <c r="K32" s="119"/>
      <c r="L32" s="119"/>
      <c r="M32" s="119"/>
      <c r="N32" s="119"/>
      <c r="O32" s="119"/>
      <c r="P32" s="119"/>
      <c r="Q32" s="119"/>
    </row>
    <row r="33" spans="1:17" ht="31.05" customHeight="1" x14ac:dyDescent="0.3">
      <c r="A33" s="134" t="s">
        <v>152</v>
      </c>
      <c r="B33" s="134"/>
      <c r="C33" s="134"/>
      <c r="D33" s="134"/>
      <c r="E33" s="134"/>
      <c r="F33" s="134"/>
      <c r="G33" s="134"/>
      <c r="H33" s="134"/>
      <c r="I33" s="119"/>
      <c r="J33" s="119"/>
      <c r="K33" s="119"/>
      <c r="L33" s="119"/>
      <c r="M33" s="119"/>
      <c r="N33" s="119"/>
      <c r="O33" s="119"/>
      <c r="P33" s="119"/>
      <c r="Q33" s="119"/>
    </row>
    <row r="34" spans="1:17" ht="31.05" customHeight="1" x14ac:dyDescent="0.3">
      <c r="A34" s="133" t="s">
        <v>153</v>
      </c>
      <c r="B34" s="133"/>
      <c r="C34" s="133"/>
      <c r="D34" s="133"/>
      <c r="E34" s="133"/>
      <c r="F34" s="133"/>
      <c r="G34" s="133"/>
      <c r="H34" s="133"/>
      <c r="I34" s="119"/>
      <c r="J34" s="119"/>
      <c r="K34" s="119"/>
      <c r="L34" s="119"/>
      <c r="M34" s="119"/>
      <c r="N34" s="119"/>
      <c r="O34" s="119"/>
      <c r="P34" s="119"/>
      <c r="Q34" s="119"/>
    </row>
    <row r="35" spans="1:17" ht="19.95" customHeight="1" x14ac:dyDescent="0.3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</row>
    <row r="36" spans="1:17" ht="19.95" customHeight="1" x14ac:dyDescent="0.3"/>
  </sheetData>
  <mergeCells count="26">
    <mergeCell ref="A31:H31"/>
    <mergeCell ref="A32:H32"/>
    <mergeCell ref="A33:H33"/>
    <mergeCell ref="A34:H34"/>
    <mergeCell ref="G8:H8"/>
    <mergeCell ref="G9:H10"/>
    <mergeCell ref="A11:H11"/>
    <mergeCell ref="A21:H21"/>
    <mergeCell ref="A29:H29"/>
    <mergeCell ref="A30:H30"/>
    <mergeCell ref="A8:B8"/>
    <mergeCell ref="A9:B10"/>
    <mergeCell ref="C8:D8"/>
    <mergeCell ref="C9:D10"/>
    <mergeCell ref="E8:F8"/>
    <mergeCell ref="E9:F10"/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conditionalFormatting sqref="D13:D17">
    <cfRule type="expression" dxfId="2" priority="1">
      <formula>D13&gt;=0</formula>
    </cfRule>
  </conditionalFormatting>
  <conditionalFormatting sqref="D13:D17">
    <cfRule type="expression" dxfId="1" priority="2">
      <formula>D13&lt;0</formula>
    </cfRule>
  </conditionalFormatting>
  <conditionalFormatting sqref="F13:F17">
    <cfRule type="expression" dxfId="0" priority="3">
      <formula>$F13="Sobrecosto"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Análisis 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Walter Silva</cp:lastModifiedBy>
  <dcterms:created xsi:type="dcterms:W3CDTF">2026-09-17T18:23:56Z</dcterms:created>
  <dcterms:modified xsi:type="dcterms:W3CDTF">2026-09-17T22:17:50Z</dcterms:modified>
</cp:coreProperties>
</file>